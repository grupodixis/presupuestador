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2026-0041 Princesa Play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name val="Calibri"/>
      <b val="1"/>
      <color rgb="001B3B2B"/>
      <sz val="16"/>
    </font>
    <font>
      <name val="Calibri"/>
      <b val="1"/>
      <color rgb="004B5563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66534"/>
      <sz val="12"/>
    </font>
  </fonts>
  <fills count="3">
    <fill>
      <patternFill/>
    </fill>
    <fill>
      <patternFill patternType="gray125"/>
    </fill>
    <fill>
      <patternFill patternType="solid">
        <fgColor rgb="001B3B2B"/>
        <bgColor rgb="001B3B2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1B3B2B"/>
      </top>
      <bottom style="double">
        <color rgb="001B3B2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64" fontId="3" fillId="0" borderId="0" pivotButton="0" quotePrefix="0" xfId="0"/>
    <xf numFmtId="0" fontId="6" fillId="0" borderId="2" applyAlignment="1" pivotButton="0" quotePrefix="0" xfId="0">
      <alignment horizontal="right"/>
    </xf>
    <xf numFmtId="164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10" customWidth="1" min="3" max="3"/>
    <col width="12" customWidth="1" min="4" max="4"/>
    <col width="22" customWidth="1" min="5" max="5"/>
    <col width="20" customWidth="1" min="6" max="6"/>
  </cols>
  <sheetData>
    <row r="1">
      <c r="A1" s="1" t="inlineStr">
        <is>
          <t>HAM ESTRUCTURAS METÁLICAS</t>
        </is>
      </c>
    </row>
    <row r="2">
      <c r="A2" s="2" t="inlineStr">
        <is>
          <t>PRESUPUESTO TÉCNICO Y ECONÓMICO: P-2026-0041</t>
        </is>
      </c>
    </row>
    <row r="4">
      <c r="A4" s="3" t="inlineStr">
        <is>
          <t>Cliente:</t>
        </is>
      </c>
      <c r="B4" s="4" t="inlineStr">
        <is>
          <t>Hotel Princesa Playa</t>
        </is>
      </c>
    </row>
    <row r="5">
      <c r="A5" s="3" t="inlineStr">
        <is>
          <t>Ubicación:</t>
        </is>
      </c>
      <c r="B5" s="4" t="inlineStr">
        <is>
          <t>Son Xoriguer / Cala'n Bosch, Ciutadella de Menorca</t>
        </is>
      </c>
    </row>
    <row r="6">
      <c r="A6" s="3" t="inlineStr">
        <is>
          <t>Fecha:</t>
        </is>
      </c>
      <c r="B6" s="4" t="inlineStr">
        <is>
          <t>23/10/2026</t>
        </is>
      </c>
    </row>
    <row r="7">
      <c r="A7" s="3" t="inlineStr">
        <is>
          <t>Concepto:</t>
        </is>
      </c>
      <c r="B7" s="4" t="inlineStr">
        <is>
          <t>Restitución de 80 ML de alambrada simple torsión (h=3,00 m, verde RAL 6005)</t>
        </is>
      </c>
    </row>
    <row r="9">
      <c r="A9" s="5" t="inlineStr">
        <is>
          <t>Partida</t>
        </is>
      </c>
      <c r="B9" s="6" t="inlineStr">
        <is>
          <t>Concepto y Descripción</t>
        </is>
      </c>
      <c r="C9" s="5" t="inlineStr">
        <is>
          <t>Unidad</t>
        </is>
      </c>
      <c r="D9" s="5" t="inlineStr">
        <is>
          <t>Cantidad</t>
        </is>
      </c>
      <c r="E9" s="5" t="inlineStr">
        <is>
          <t>Precio Unitario (€)</t>
        </is>
      </c>
      <c r="F9" s="5" t="inlineStr">
        <is>
          <t>Importe (€)</t>
        </is>
      </c>
    </row>
    <row r="10">
      <c r="A10" s="7" t="inlineStr">
        <is>
          <t>01</t>
        </is>
      </c>
      <c r="B10" s="8" t="inlineStr">
        <is>
          <t>Desmontaje, retirada y gestión de cerramiento previo deteriorado en vertedero autorizado</t>
        </is>
      </c>
      <c r="C10" s="7" t="inlineStr">
        <is>
          <t>ml</t>
        </is>
      </c>
      <c r="D10" s="9" t="n">
        <v>80</v>
      </c>
      <c r="E10" s="10" t="n">
        <v>35</v>
      </c>
      <c r="F10" s="10">
        <f>D10*E10</f>
        <v/>
      </c>
    </row>
    <row r="11">
      <c r="A11" s="7" t="inlineStr">
        <is>
          <t>02</t>
        </is>
      </c>
      <c r="B11" s="8" t="inlineStr">
        <is>
          <t>Postes tubulares metálicos galvanizados y plastificados verde h=3,00 m (intermedios, esquinas y tornapuntas)</t>
        </is>
      </c>
      <c r="C11" s="7" t="inlineStr">
        <is>
          <t>ml</t>
        </is>
      </c>
      <c r="D11" s="9" t="n">
        <v>80</v>
      </c>
      <c r="E11" s="10" t="n">
        <v>75</v>
      </c>
      <c r="F11" s="10">
        <f>D11*E11</f>
        <v/>
      </c>
    </row>
    <row r="12">
      <c r="A12" s="7" t="inlineStr">
        <is>
          <t>03</t>
        </is>
      </c>
      <c r="B12" s="8" t="inlineStr">
        <is>
          <t>Malla simple torsión 50/14 plastificada verde h=3,00 m, 4 líneas tensoras, tensores M8 y accesorios</t>
        </is>
      </c>
      <c r="C12" s="7" t="inlineStr">
        <is>
          <t>ml</t>
        </is>
      </c>
      <c r="D12" s="9" t="n">
        <v>80</v>
      </c>
      <c r="E12" s="10" t="n">
        <v>65</v>
      </c>
      <c r="F12" s="10">
        <f>D12*E12</f>
        <v/>
      </c>
    </row>
    <row r="13">
      <c r="A13" s="7" t="inlineStr">
        <is>
          <t>04</t>
        </is>
      </c>
      <c r="B13" s="8" t="inlineStr">
        <is>
          <t>Mano de obra especializada en montaje, alineación, tesado y remates de seguridad en obra</t>
        </is>
      </c>
      <c r="C13" s="7" t="inlineStr">
        <is>
          <t>ml</t>
        </is>
      </c>
      <c r="D13" s="9" t="n">
        <v>80</v>
      </c>
      <c r="E13" s="10" t="n">
        <v>35</v>
      </c>
      <c r="F13" s="10">
        <f>D13*E13</f>
        <v/>
      </c>
    </row>
    <row r="15">
      <c r="E15" s="11" t="inlineStr">
        <is>
          <t>Base Imponible:</t>
        </is>
      </c>
      <c r="F15" s="12">
        <f>SUM(F10:F13)</f>
        <v/>
      </c>
    </row>
    <row r="16">
      <c r="E16" s="11" t="inlineStr">
        <is>
          <t>I.V.A. (21%):</t>
        </is>
      </c>
      <c r="F16" s="12">
        <f>F15*0.21</f>
        <v/>
      </c>
    </row>
    <row r="17">
      <c r="E17" s="13" t="inlineStr">
        <is>
          <t>TOTAL PRESUPUESTO:</t>
        </is>
      </c>
      <c r="F17" s="14">
        <f>F15+F16</f>
        <v/>
      </c>
    </row>
    <row r="19">
      <c r="A19" s="3" t="inlineStr">
        <is>
          <t>CONDICIONES COMERCIALES</t>
        </is>
      </c>
    </row>
    <row r="20">
      <c r="A20" s="3" t="inlineStr">
        <is>
          <t>• Forma de pago:</t>
        </is>
      </c>
      <c r="B20" s="4" t="inlineStr">
        <is>
          <t>80% a la aceptación del presupuesto (16.262,40 € IVA incl.) y 20% a la finalización (4.065,60 € IVA incl.)</t>
        </is>
      </c>
    </row>
    <row r="21">
      <c r="A21" s="3" t="inlineStr">
        <is>
          <t>• Garantía:</t>
        </is>
      </c>
      <c r="B21" s="4" t="inlineStr">
        <is>
          <t>1 año en materiales y montaje frente a defectos de fabricación o instalación</t>
        </is>
      </c>
    </row>
    <row r="22">
      <c r="A22" s="3" t="inlineStr">
        <is>
          <t>• Plazo de ejecución:</t>
        </is>
      </c>
      <c r="B22" s="4" t="inlineStr">
        <is>
          <t>4 a 6 días laborables tras replanteo y recepción de acopios</t>
        </is>
      </c>
    </row>
    <row r="23">
      <c r="A23" s="3" t="inlineStr">
        <is>
          <t>• Validez:</t>
        </is>
      </c>
      <c r="B23" s="4" t="inlineStr">
        <is>
          <t>30 días naturales desde la fecha de emisión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2026-10-23T14:22:17Z</dcterms:created>
  <dcterms:modified xmlns:dcterms="http://purl.org/dc/terms/" xmlns:xsi="http://www.w3.org/2001/XMLSchema-instance" xsi:type="dcterms:W3CDTF">2026-10-23T14:22:17Z</dcterms:modified>
</cp:coreProperties>
</file>