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Comparativo" sheetId="1" state="visible" r:id="rId1"/>
    <sheet xmlns:r="http://schemas.openxmlformats.org/officeDocument/2006/relationships" name="Opción 1 - Inox + Cuerdas" sheetId="2" state="visible" r:id="rId2"/>
    <sheet xmlns:r="http://schemas.openxmlformats.org/officeDocument/2006/relationships" name="Opción 2 - Inox 316L Modular" sheetId="3" state="visible" r:id="rId3"/>
    <sheet xmlns:r="http://schemas.openxmlformats.org/officeDocument/2006/relationships" name="Opción 3 - PRFV Articulad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8">
    <font>
      <name val="Calibri"/>
      <family val="2"/>
      <color theme="1"/>
      <sz val="11"/>
      <scheme val="minor"/>
    </font>
    <font>
      <name val="Segoe UI"/>
      <b val="1"/>
      <color rgb="0016202A"/>
      <sz val="14"/>
    </font>
    <font>
      <name val="Segoe UI"/>
      <i val="1"/>
      <color rgb="00475569"/>
      <sz val="10"/>
    </font>
    <font>
      <name val="Segoe UI"/>
      <b val="1"/>
      <color rgb="00FFFFFF"/>
      <sz val="9"/>
    </font>
    <font>
      <name val="Segoe UI"/>
      <color rgb="000F172A"/>
      <sz val="9"/>
    </font>
    <font>
      <name val="Segoe UI"/>
      <b val="1"/>
      <color rgb="000F172A"/>
      <sz val="9"/>
    </font>
    <font>
      <name val="Segoe UI"/>
      <b val="1"/>
      <color rgb="00065F46"/>
      <sz val="9"/>
    </font>
    <font>
      <name val="Segoe UI"/>
      <b val="1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6202A"/>
        <bgColor rgb="0016202A"/>
      </patternFill>
    </fill>
    <fill>
      <patternFill patternType="solid">
        <fgColor rgb="00DCFCE7"/>
        <bgColor rgb="00DCFCE7"/>
      </patternFill>
    </fill>
    <fill>
      <patternFill patternType="solid">
        <fgColor rgb="00065F46"/>
        <bgColor rgb="00065F4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applyAlignment="1" pivotButton="0" quotePrefix="0" xfId="0">
      <alignment horizontal="right"/>
    </xf>
    <xf numFmtId="0" fontId="1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0" fontId="7" fillId="0" borderId="0" applyAlignment="1" pivotButton="0" quotePrefix="0" xfId="0">
      <alignment horizontal="right"/>
    </xf>
    <xf numFmtId="164" fontId="7" fillId="0" borderId="0" pivotButton="0" quotePrefix="0" xfId="0"/>
    <xf numFmtId="0" fontId="4" fillId="0" borderId="0" applyAlignment="1" pivotButton="0" quotePrefix="0" xfId="0">
      <alignment horizontal="right"/>
    </xf>
    <xf numFmtId="164" fontId="4" fillId="0" borderId="0" pivotButton="0" quotePrefix="0" xfId="0"/>
    <xf numFmtId="0" fontId="1" fillId="0" borderId="0" applyAlignment="1" pivotButton="0" quotePrefix="0" xfId="0">
      <alignment horizontal="right"/>
    </xf>
    <xf numFmtId="164" fontId="1" fillId="0" borderId="0" pivotButton="0" quotePrefix="0" xfId="0"/>
    <xf numFmtId="0" fontId="3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 outlineLevelCol="0"/>
  <cols>
    <col width="15" customWidth="1" min="1" max="1"/>
    <col width="45" customWidth="1" min="2" max="2"/>
    <col width="22" customWidth="1" min="3" max="3"/>
    <col width="18" customWidth="1" min="4" max="4"/>
    <col width="16" customWidth="1" min="5" max="5"/>
    <col width="20" customWidth="1" min="6" max="6"/>
    <col width="20" customWidth="1" min="7" max="7"/>
  </cols>
  <sheetData>
    <row r="1">
      <c r="A1" s="1" t="inlineStr">
        <is>
          <t>HAM ESTRUCTURAS METÁLICAS — ESTUDIO TÉCNICO Y PRESUPUESTO</t>
        </is>
      </c>
    </row>
    <row r="2">
      <c r="A2" s="2" t="inlineStr">
        <is>
          <t>Cerramiento perimetral de Laguna en EDAR Es Castell / Mahón (Menorca) · Longitud: 175 ML · Ref: P-2026-0040 (Incluye Fotomontajes)</t>
        </is>
      </c>
    </row>
    <row r="4">
      <c r="A4" s="3" t="inlineStr">
        <is>
          <t>Opción</t>
        </is>
      </c>
      <c r="B4" s="3" t="inlineStr">
        <is>
          <t>Descripción Constructiva</t>
        </is>
      </c>
      <c r="C4" s="3" t="inlineStr">
        <is>
          <t>Material Principal</t>
        </is>
      </c>
      <c r="D4" s="3" t="inlineStr">
        <is>
          <t>Norma UNE 14122</t>
        </is>
      </c>
      <c r="E4" s="3" t="inlineStr">
        <is>
          <t>PVP / ML (€)</t>
        </is>
      </c>
      <c r="F4" s="3" t="inlineStr">
        <is>
          <t>Base Imponible (€)</t>
        </is>
      </c>
      <c r="G4" s="3" t="inlineStr">
        <is>
          <t>Total con IVA (21%)</t>
        </is>
      </c>
    </row>
    <row r="5">
      <c r="A5" s="4" t="inlineStr">
        <is>
          <t>Opción #1</t>
        </is>
      </c>
      <c r="B5" s="5" t="inlineStr">
        <is>
          <t>Verticales de Inox 316L + 2 líneas de Cuerda náutica pasamanos/intermedia</t>
        </is>
      </c>
      <c r="C5" s="5" t="inlineStr">
        <is>
          <t>AISI 316L + Textil UV</t>
        </is>
      </c>
      <c r="D5" s="4" t="inlineStr">
        <is>
          <t>❌ No cumple</t>
        </is>
      </c>
      <c r="E5" s="6" t="n">
        <v>175</v>
      </c>
      <c r="F5" s="6" t="n">
        <v>30625</v>
      </c>
      <c r="G5" s="6" t="n">
        <v>37056.25</v>
      </c>
    </row>
    <row r="6">
      <c r="A6" s="4" t="inlineStr">
        <is>
          <t>Opción #2</t>
        </is>
      </c>
      <c r="B6" s="5" t="inlineStr">
        <is>
          <t>Barandilla modular Inox AISI 316L (tubo 40x40x1.5mm en montantes y travesaños, orejas y tornillo pasante M12)</t>
        </is>
      </c>
      <c r="C6" s="5" t="inlineStr">
        <is>
          <t>AISI 316L 40x40x1.5</t>
        </is>
      </c>
      <c r="D6" s="4" t="inlineStr">
        <is>
          <t>✅ Conforme</t>
        </is>
      </c>
      <c r="E6" s="6" t="n">
        <v>245</v>
      </c>
      <c r="F6" s="6" t="n">
        <v>42875</v>
      </c>
      <c r="G6" s="6" t="n">
        <v>51878.75</v>
      </c>
    </row>
    <row r="7">
      <c r="A7" s="7" t="inlineStr">
        <is>
          <t>Opción #3 (⭐)</t>
        </is>
      </c>
      <c r="B7" s="8" t="inlineStr">
        <is>
          <t>Barandilla articulada PRFV pultruido: tubo 50x50, pasamano Omega, zócalo 200mm, POM</t>
        </is>
      </c>
      <c r="C7" s="8" t="inlineStr">
        <is>
          <t>PRFV + Resinas POM</t>
        </is>
      </c>
      <c r="D7" s="7" t="inlineStr">
        <is>
          <t>✅ Cumple 100%</t>
        </is>
      </c>
      <c r="E7" s="9" t="n">
        <v>265</v>
      </c>
      <c r="F7" s="9" t="n">
        <v>46375</v>
      </c>
      <c r="G7" s="9" t="n">
        <v>56113.75</v>
      </c>
    </row>
    <row r="10">
      <c r="A10" s="10" t="inlineStr">
        <is>
          <t>DICTAMEN TÉCNICO OFICIAL DE HAM ESTRUCTURAS METÁLICAS:</t>
        </is>
      </c>
    </row>
    <row r="11">
      <c r="A11" s="11" t="inlineStr">
        <is>
          <t>1. La Opción #1 (175,00 €/ML) queda desaconsejada técnicamente por incumplimiento de la norma UNE-EN ISO 14122-3 y riesgo de caída en balsa de aguas residuales.</t>
        </is>
      </c>
    </row>
    <row r="12">
      <c r="A12" s="11" t="inlineStr">
        <is>
          <t>2. La Opción #2 (245,00 €/ML) es mecánicamente óptima y muy resistente en Tubo Cuadrado Inox AISI 316L 40x40x1.5 mm integral.</t>
        </is>
      </c>
    </row>
    <row r="13">
      <c r="A13" s="12" t="inlineStr">
        <is>
          <t>3. La Opción #3 (265,00 €/ML) es la SOLUCIÓN RECOMENDADA: barandilla de PRFV homologada, 100% inmune a corrosión por H2S y niebla salina, con rodapié de 200 mm incluido.</t>
        </is>
      </c>
    </row>
    <row r="15">
      <c r="A15" s="2" t="inlineStr">
        <is>
          <t>* Nota: Las recreaciones y fotomontajes fotorrealistas adjuntos en los documentos PDF y HTML han sido generados mediante Inteligencia Artificial (IA) para visualización y simulación técnica del proyecto.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55" customWidth="1" min="2" max="2"/>
    <col width="10" customWidth="1" min="3" max="3"/>
    <col width="8" customWidth="1" min="4" max="4"/>
    <col width="18" customWidth="1" min="5" max="5"/>
    <col width="18" customWidth="1" min="6" max="6"/>
  </cols>
  <sheetData>
    <row r="1">
      <c r="A1" s="10" t="inlineStr">
        <is>
          <t>HAM — OPCIÓN #1: INOX 316L + CUERDAS (175,00 €/ML)</t>
        </is>
      </c>
    </row>
    <row r="2">
      <c r="A2" s="2" t="inlineStr">
        <is>
          <t>Montantes Inox AISI 316L con 2 líneas de cuerda náutica pasamanos/intermedia · Medición total: 175 ML</t>
        </is>
      </c>
    </row>
    <row r="4">
      <c r="A4" s="13" t="inlineStr">
        <is>
          <t>Capítulo</t>
        </is>
      </c>
      <c r="B4" s="14" t="inlineStr">
        <is>
          <t>Concepto y Especificación Técnica</t>
        </is>
      </c>
      <c r="C4" s="13" t="inlineStr">
        <is>
          <t>Cantidad</t>
        </is>
      </c>
      <c r="D4" s="13" t="inlineStr">
        <is>
          <t>Unidad</t>
        </is>
      </c>
      <c r="E4" s="13" t="inlineStr">
        <is>
          <t>Precio Unitario (€)</t>
        </is>
      </c>
      <c r="F4" s="13" t="inlineStr">
        <is>
          <t>Importe (€)</t>
        </is>
      </c>
    </row>
    <row r="5">
      <c r="A5" s="15" t="inlineStr">
        <is>
          <t>Materiales</t>
        </is>
      </c>
      <c r="B5" s="16" t="inlineStr">
        <is>
          <t>Montantes verticales Inox AISI 316L h=1.100mm con placa base y 2 cáncamos pasantes (cada 2m)</t>
        </is>
      </c>
      <c r="C5" s="17" t="n">
        <v>88</v>
      </c>
      <c r="D5" s="4" t="inlineStr">
        <is>
          <t>ud</t>
        </is>
      </c>
      <c r="E5" s="6" t="n">
        <v>145</v>
      </c>
      <c r="F5" s="6">
        <f>C5*E5</f>
        <v/>
      </c>
    </row>
    <row r="6">
      <c r="A6" s="15" t="inlineStr">
        <is>
          <t>Materiales</t>
        </is>
      </c>
      <c r="B6" s="16" t="inlineStr">
        <is>
          <t>Cuerda pasamanos/intermedia (2 pasadas x 175 ML) + 16 tensores náuticos AISI 316 y herrajes</t>
        </is>
      </c>
      <c r="C6" s="17" t="n">
        <v>1</v>
      </c>
      <c r="D6" s="4" t="inlineStr">
        <is>
          <t>lote</t>
        </is>
      </c>
      <c r="E6" s="6" t="n">
        <v>1250</v>
      </c>
      <c r="F6" s="6">
        <f>C6*E6</f>
        <v/>
      </c>
    </row>
    <row r="7">
      <c r="A7" s="15" t="inlineStr">
        <is>
          <t>Fijaciones</t>
        </is>
      </c>
      <c r="B7" s="16" t="inlineStr">
        <is>
          <t>Anclajes químicos M10 inox A4 (AISI 316) con resina de inyección en corona de hormigón</t>
        </is>
      </c>
      <c r="C7" s="17" t="n">
        <v>88</v>
      </c>
      <c r="D7" s="4" t="inlineStr">
        <is>
          <t>ud</t>
        </is>
      </c>
      <c r="E7" s="6" t="n">
        <v>12</v>
      </c>
      <c r="F7" s="6">
        <f>C7*E7</f>
        <v/>
      </c>
    </row>
    <row r="8">
      <c r="A8" s="15" t="inlineStr">
        <is>
          <t>Taller HAM</t>
        </is>
      </c>
      <c r="B8" s="16" t="inlineStr">
        <is>
          <t>Mano de obra de fabricación en taller: corte, soldadura TIG con aportación 316L y pasivado</t>
        </is>
      </c>
      <c r="C8" s="17" t="n">
        <v>60</v>
      </c>
      <c r="D8" s="4" t="inlineStr">
        <is>
          <t>h</t>
        </is>
      </c>
      <c r="E8" s="6" t="n">
        <v>40</v>
      </c>
      <c r="F8" s="6">
        <f>C8*E8</f>
        <v/>
      </c>
    </row>
    <row r="9">
      <c r="A9" s="15" t="inlineStr">
        <is>
          <t>Montaje Obra</t>
        </is>
      </c>
      <c r="B9" s="16" t="inlineStr">
        <is>
          <t>Mano de obra especialista de replanteo, fijación a hormigón, aplomado, enhebrado y tesado</t>
        </is>
      </c>
      <c r="C9" s="17" t="n">
        <v>175</v>
      </c>
      <c r="D9" s="4" t="inlineStr">
        <is>
          <t>ML</t>
        </is>
      </c>
      <c r="E9" s="6" t="n">
        <v>68</v>
      </c>
      <c r="F9" s="6">
        <f>C9*E9</f>
        <v/>
      </c>
    </row>
    <row r="10">
      <c r="A10" s="15" t="inlineStr">
        <is>
          <t>Logística/Seg.</t>
        </is>
      </c>
      <c r="B10" s="16" t="inlineStr">
        <is>
          <t>Transporte local a EDAR Es Castell, medios auxiliares y EPIs de seguridad</t>
        </is>
      </c>
      <c r="C10" s="17" t="n">
        <v>1</v>
      </c>
      <c r="D10" s="4" t="inlineStr">
        <is>
          <t>lote</t>
        </is>
      </c>
      <c r="E10" s="6" t="n">
        <v>1259</v>
      </c>
      <c r="F10" s="6">
        <f>C10*E10</f>
        <v/>
      </c>
    </row>
    <row r="11">
      <c r="A11" s="18" t="inlineStr">
        <is>
          <t>BASE IMPONIBLE:</t>
        </is>
      </c>
      <c r="F11" s="19">
        <f>SUM(F5:F10)</f>
        <v/>
      </c>
    </row>
    <row r="12">
      <c r="A12" s="20" t="inlineStr">
        <is>
          <t>IVA (21%):</t>
        </is>
      </c>
      <c r="F12" s="21">
        <f>F11*0.21</f>
        <v/>
      </c>
    </row>
    <row r="13">
      <c r="A13" s="22" t="inlineStr">
        <is>
          <t>TOTAL PRESUPUESTO:</t>
        </is>
      </c>
      <c r="F13" s="23">
        <f>F11+F12</f>
        <v/>
      </c>
    </row>
  </sheetData>
  <mergeCells count="5">
    <mergeCell ref="A2:F2"/>
    <mergeCell ref="A12:E12"/>
    <mergeCell ref="A1:F1"/>
    <mergeCell ref="A11:E11"/>
    <mergeCell ref="A13:E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55" customWidth="1" min="2" max="2"/>
    <col width="10" customWidth="1" min="3" max="3"/>
    <col width="8" customWidth="1" min="4" max="4"/>
    <col width="18" customWidth="1" min="5" max="5"/>
    <col width="18" customWidth="1" min="6" max="6"/>
  </cols>
  <sheetData>
    <row r="1">
      <c r="A1" s="10" t="inlineStr">
        <is>
          <t>HAM — OPCIÓN #2: INOX 316L MODULAR 40X40X1.5 (245,00 €/ML)</t>
        </is>
      </c>
    </row>
    <row r="2">
      <c r="A2" s="2" t="inlineStr">
        <is>
          <t>Barandilla modular con tubo 40x40x1.5mm en montantes y travesaños, orejas soldadas y tornillos pasantes M12 · Medición total: 175 ML</t>
        </is>
      </c>
    </row>
    <row r="4">
      <c r="A4" s="13" t="inlineStr">
        <is>
          <t>Capítulo</t>
        </is>
      </c>
      <c r="B4" s="14" t="inlineStr">
        <is>
          <t>Concepto y Especificación Técnica</t>
        </is>
      </c>
      <c r="C4" s="13" t="inlineStr">
        <is>
          <t>Cantidad</t>
        </is>
      </c>
      <c r="D4" s="13" t="inlineStr">
        <is>
          <t>Unidad</t>
        </is>
      </c>
      <c r="E4" s="13" t="inlineStr">
        <is>
          <t>Precio Unitario (€)</t>
        </is>
      </c>
      <c r="F4" s="13" t="inlineStr">
        <is>
          <t>Importe (€)</t>
        </is>
      </c>
    </row>
    <row r="5">
      <c r="A5" s="15" t="inlineStr">
        <is>
          <t>Materiales</t>
        </is>
      </c>
      <c r="B5" s="16" t="inlineStr">
        <is>
          <t>Montantes verticales tubo Inox AISI 316L 40x40x1.5mm h=1.100mm con base 120x120 y orejas soldadas para tornillo M12</t>
        </is>
      </c>
      <c r="C5" s="17" t="n">
        <v>118</v>
      </c>
      <c r="D5" s="4" t="inlineStr">
        <is>
          <t>ud</t>
        </is>
      </c>
      <c r="E5" s="6" t="n">
        <v>125</v>
      </c>
      <c r="F5" s="6">
        <f>C5*E5</f>
        <v/>
      </c>
    </row>
    <row r="6">
      <c r="A6" s="15" t="inlineStr">
        <is>
          <t>Materiales</t>
        </is>
      </c>
      <c r="B6" s="16" t="inlineStr">
        <is>
          <t>Pasamanos modular en tramos 1,5m tubo cuadrado Inox AISI 316L 40x40x1.5mm perforado en puntas para atornillar a montantes</t>
        </is>
      </c>
      <c r="C6" s="17" t="n">
        <v>175</v>
      </c>
      <c r="D6" s="4" t="inlineStr">
        <is>
          <t>ML</t>
        </is>
      </c>
      <c r="E6" s="6" t="n">
        <v>42</v>
      </c>
      <c r="F6" s="6">
        <f>C6*E6</f>
        <v/>
      </c>
    </row>
    <row r="7">
      <c r="A7" s="15" t="inlineStr">
        <is>
          <t>Materiales</t>
        </is>
      </c>
      <c r="B7" s="16" t="inlineStr">
        <is>
          <t>Barra intermedia modular en tramos 1,5m tubo cuadrado Inox AISI 316L 40x40x1.5mm atornillada a orejas intermedias (h=550mm)</t>
        </is>
      </c>
      <c r="C7" s="17" t="n">
        <v>175</v>
      </c>
      <c r="D7" s="4" t="inlineStr">
        <is>
          <t>ML</t>
        </is>
      </c>
      <c r="E7" s="6" t="n">
        <v>28</v>
      </c>
      <c r="F7" s="6">
        <f>C7*E7</f>
        <v/>
      </c>
    </row>
    <row r="8">
      <c r="A8" s="15" t="inlineStr">
        <is>
          <t>Tornillería/Ancl.</t>
        </is>
      </c>
      <c r="B8" s="16" t="inlineStr">
        <is>
          <t>Tornillería pasante M12 A4-70 autoblocante con arandelas y 472 anclajes químicos M10x130 A4 en corona de hormigón</t>
        </is>
      </c>
      <c r="C8" s="17" t="n">
        <v>1</v>
      </c>
      <c r="D8" s="4" t="inlineStr">
        <is>
          <t>lote</t>
        </is>
      </c>
      <c r="E8" s="6" t="n">
        <v>1950</v>
      </c>
      <c r="F8" s="6">
        <f>C8*E8</f>
        <v/>
      </c>
    </row>
    <row r="9">
      <c r="A9" s="15" t="inlineStr">
        <is>
          <t>Taller HAM</t>
        </is>
      </c>
      <c r="B9" s="16" t="inlineStr">
        <is>
          <t>Mano de obra taller: corte perfiles 40x40x1.5, perforaciones en puntas, armado, TIG y decapado/pasivado</t>
        </is>
      </c>
      <c r="C9" s="17" t="n">
        <v>100</v>
      </c>
      <c r="D9" s="4" t="inlineStr">
        <is>
          <t>h</t>
        </is>
      </c>
      <c r="E9" s="6" t="n">
        <v>40</v>
      </c>
      <c r="F9" s="6">
        <f>C9*E9</f>
        <v/>
      </c>
    </row>
    <row r="10">
      <c r="A10" s="15" t="inlineStr">
        <is>
          <t>Montaje Obra</t>
        </is>
      </c>
      <c r="B10" s="16" t="inlineStr">
        <is>
          <t>Mano de obra montaje e instalación completa de 175 ML en EDAR Es Castell (equipo especialista HAM)</t>
        </is>
      </c>
      <c r="C10" s="17" t="n">
        <v>175</v>
      </c>
      <c r="D10" s="4" t="inlineStr">
        <is>
          <t>ML</t>
        </is>
      </c>
      <c r="E10" s="6" t="n">
        <v>50</v>
      </c>
      <c r="F10" s="6">
        <f>C10*E10</f>
        <v/>
      </c>
    </row>
    <row r="11">
      <c r="A11" s="15" t="inlineStr">
        <is>
          <t>Logística/Seg.</t>
        </is>
      </c>
      <c r="B11" s="16" t="inlineStr">
        <is>
          <t>Transporte de perfiles protegidos a obra, furgón taller, generadores y prevención de riesgos</t>
        </is>
      </c>
      <c r="C11" s="17" t="n">
        <v>1</v>
      </c>
      <c r="D11" s="4" t="inlineStr">
        <is>
          <t>lote</t>
        </is>
      </c>
      <c r="E11" s="6" t="n">
        <v>1175</v>
      </c>
      <c r="F11" s="6">
        <f>C11*E11</f>
        <v/>
      </c>
    </row>
    <row r="12">
      <c r="A12" s="18" t="inlineStr">
        <is>
          <t>BASE IMPONIBLE:</t>
        </is>
      </c>
      <c r="F12" s="19">
        <f>SUM(F5:F11)</f>
        <v/>
      </c>
    </row>
    <row r="13">
      <c r="A13" s="20" t="inlineStr">
        <is>
          <t>IVA (21%):</t>
        </is>
      </c>
      <c r="F13" s="21">
        <f>F12*0.21</f>
        <v/>
      </c>
    </row>
    <row r="14">
      <c r="A14" s="22" t="inlineStr">
        <is>
          <t>TOTAL PRESUPUESTO:</t>
        </is>
      </c>
      <c r="F14" s="23">
        <f>F12+F13</f>
        <v/>
      </c>
    </row>
  </sheetData>
  <mergeCells count="5">
    <mergeCell ref="A2:F2"/>
    <mergeCell ref="A12:E12"/>
    <mergeCell ref="A1:F1"/>
    <mergeCell ref="A13:E13"/>
    <mergeCell ref="A14:E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55" customWidth="1" min="2" max="2"/>
    <col width="10" customWidth="1" min="3" max="3"/>
    <col width="8" customWidth="1" min="4" max="4"/>
    <col width="18" customWidth="1" min="5" max="5"/>
    <col width="18" customWidth="1" min="6" max="6"/>
  </cols>
  <sheetData>
    <row r="1">
      <c r="A1" s="10" t="inlineStr">
        <is>
          <t>HAM — OPCIÓN #3: BARANDILLA PRFV (265,00 €/ML)</t>
        </is>
      </c>
    </row>
    <row r="2">
      <c r="A2" s="2" t="inlineStr">
        <is>
          <t>Barandilla modular pultruida de PRFV según Ficha Técnica Oficial (UNE-EN ISO 14122) · Medición total: 175 ML</t>
        </is>
      </c>
    </row>
    <row r="4">
      <c r="A4" s="24" t="inlineStr">
        <is>
          <t>Capítulo</t>
        </is>
      </c>
      <c r="B4" s="25" t="inlineStr">
        <is>
          <t>Concepto y Especificación Técnica</t>
        </is>
      </c>
      <c r="C4" s="24" t="inlineStr">
        <is>
          <t>Cantidad</t>
        </is>
      </c>
      <c r="D4" s="24" t="inlineStr">
        <is>
          <t>Unidad</t>
        </is>
      </c>
      <c r="E4" s="24" t="inlineStr">
        <is>
          <t>Precio Unitario (€)</t>
        </is>
      </c>
      <c r="F4" s="24" t="inlineStr">
        <is>
          <t>Importe (€)</t>
        </is>
      </c>
    </row>
    <row r="5">
      <c r="A5" s="15" t="inlineStr">
        <is>
          <t>Material PRFV</t>
        </is>
      </c>
      <c r="B5" s="16" t="inlineStr">
        <is>
          <t>Suministro Barandilla PRFV según Ficha Técnica (tubo 50x50x5, pasamano Omega E-2100, intermedio Ø25, rodapié 200x3.5mm, rótulas POM y bases)</t>
        </is>
      </c>
      <c r="C5" s="17" t="n">
        <v>175</v>
      </c>
      <c r="D5" s="4" t="inlineStr">
        <is>
          <t>ML</t>
        </is>
      </c>
      <c r="E5" s="6" t="n">
        <v>145</v>
      </c>
      <c r="F5" s="6">
        <f>C5*E5</f>
        <v/>
      </c>
    </row>
    <row r="6">
      <c r="A6" s="15" t="inlineStr">
        <is>
          <t>Fijaciones A4</t>
        </is>
      </c>
      <c r="B6" s="16" t="inlineStr">
        <is>
          <t>Juegos de anclajes estructurales de suelo en Acero Inoxidable A-4 para las 160 bases de suelo</t>
        </is>
      </c>
      <c r="C6" s="17" t="n">
        <v>160</v>
      </c>
      <c r="D6" s="4" t="inlineStr">
        <is>
          <t>ud</t>
        </is>
      </c>
      <c r="E6" s="6" t="n">
        <v>12.5</v>
      </c>
      <c r="F6" s="6">
        <f>C6*E6</f>
        <v/>
      </c>
    </row>
    <row r="7">
      <c r="A7" s="15" t="inlineStr">
        <is>
          <t>Mano de Obra</t>
        </is>
      </c>
      <c r="B7" s="16" t="inlineStr">
        <is>
          <t>Mano de obra oficial montador especialista en obra (80 horas): replanteo, taladros y montaje</t>
        </is>
      </c>
      <c r="C7" s="17" t="n">
        <v>80</v>
      </c>
      <c r="D7" s="4" t="inlineStr">
        <is>
          <t>h</t>
        </is>
      </c>
      <c r="E7" s="6" t="n">
        <v>55</v>
      </c>
      <c r="F7" s="6">
        <f>C7*E7</f>
        <v/>
      </c>
    </row>
    <row r="8">
      <c r="A8" s="15" t="inlineStr">
        <is>
          <t>Mano de Obra</t>
        </is>
      </c>
      <c r="B8" s="16" t="inlineStr">
        <is>
          <t>Mano de obra ayudante especialista de montaje (80 horas): acopio, asistencia y fijación</t>
        </is>
      </c>
      <c r="C8" s="17" t="n">
        <v>80</v>
      </c>
      <c r="D8" s="4" t="inlineStr">
        <is>
          <t>h</t>
        </is>
      </c>
      <c r="E8" s="6" t="n">
        <v>45</v>
      </c>
      <c r="F8" s="6">
        <f>C8*E8</f>
        <v/>
      </c>
    </row>
    <row r="9">
      <c r="A9" s="15" t="inlineStr">
        <is>
          <t>Montaje Especial.</t>
        </is>
      </c>
      <c r="B9" s="16" t="inlineStr">
        <is>
          <t>Alineación perimetral, ensamblaje de rodapié y remates continuos</t>
        </is>
      </c>
      <c r="C9" s="17" t="n">
        <v>175</v>
      </c>
      <c r="D9" s="4" t="inlineStr">
        <is>
          <t>ML</t>
        </is>
      </c>
      <c r="E9" s="6" t="n">
        <v>48</v>
      </c>
      <c r="F9" s="6">
        <f>C9*E9</f>
        <v/>
      </c>
    </row>
    <row r="10">
      <c r="A10" s="15" t="inlineStr">
        <is>
          <t>Medios/Seg.</t>
        </is>
      </c>
      <c r="B10" s="16" t="inlineStr">
        <is>
          <t>Medios auxiliares, herramientas batería, aspiración, furgón taller durante 10 días y EPIs</t>
        </is>
      </c>
      <c r="C10" s="17" t="n">
        <v>1</v>
      </c>
      <c r="D10" s="4" t="inlineStr">
        <is>
          <t>lote</t>
        </is>
      </c>
      <c r="E10" s="6" t="n">
        <v>2600</v>
      </c>
      <c r="F10" s="6">
        <f>C10*E10</f>
        <v/>
      </c>
    </row>
    <row r="11">
      <c r="A11" s="18" t="inlineStr">
        <is>
          <t>BASE IMPONIBLE:</t>
        </is>
      </c>
      <c r="F11" s="19">
        <f>SUM(F5:F10)</f>
        <v/>
      </c>
    </row>
    <row r="12">
      <c r="A12" s="20" t="inlineStr">
        <is>
          <t>IVA (21%):</t>
        </is>
      </c>
      <c r="F12" s="21">
        <f>F11*0.21</f>
        <v/>
      </c>
    </row>
    <row r="13">
      <c r="A13" s="22" t="inlineStr">
        <is>
          <t>TOTAL PRESUPUESTO:</t>
        </is>
      </c>
      <c r="F13" s="23">
        <f>F11+F12</f>
        <v/>
      </c>
    </row>
  </sheetData>
  <mergeCells count="5">
    <mergeCell ref="A2:F2"/>
    <mergeCell ref="A12:E12"/>
    <mergeCell ref="A1:F1"/>
    <mergeCell ref="A11:E11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2026-10-09T11:13:55Z</dcterms:created>
  <dcterms:modified xmlns:dcterms="http://purl.org/dc/terms/" xmlns:xsi="http://www.w3.org/2001/XMLSchema-instance" xsi:type="dcterms:W3CDTF">2026-10-09T11:13:55Z</dcterms:modified>
</cp:coreProperties>
</file>