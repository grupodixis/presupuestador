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ecios Unit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Segoe UI"/>
      <b val="1"/>
      <color rgb="00121820"/>
      <sz val="16"/>
    </font>
    <font>
      <name val="Segoe UI"/>
      <i val="1"/>
      <color rgb="00667085"/>
      <sz val="11"/>
    </font>
    <font>
      <name val="Segoe UI"/>
      <b val="1"/>
      <color rgb="00121820"/>
      <sz val="12"/>
    </font>
    <font>
      <name val="Segoe UI"/>
      <color rgb="0020242a"/>
      <sz val="10"/>
    </font>
    <font>
      <name val="Segoe UI"/>
      <b val="1"/>
      <color rgb="0020242a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21820"/>
        <bgColor rgb="00121820"/>
      </patternFill>
    </fill>
    <fill>
      <patternFill patternType="solid">
        <fgColor rgb="00FEF3C7"/>
        <bgColor rgb="00FEF3C7"/>
      </patternFill>
    </fill>
    <fill>
      <patternFill patternType="solid">
        <fgColor rgb="00F6F8FB"/>
        <bgColor rgb="00F6F8FB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d9e0e8"/>
      </left>
      <right style="thin">
        <color rgb="00d9e0e8"/>
      </right>
      <top style="thin">
        <color rgb="00d9e0e8"/>
      </top>
      <bottom style="thin">
        <color rgb="00d9e0e8"/>
      </bottom>
    </border>
    <border>
      <top style="double">
        <color rgb="00121820"/>
      </top>
      <bottom style="double">
        <color rgb="0012182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4" borderId="1" pivotButton="0" quotePrefix="0" xfId="0"/>
    <xf numFmtId="0" fontId="4" fillId="4" borderId="1" pivotButton="0" quotePrefix="0" xfId="0"/>
    <xf numFmtId="164" fontId="4" fillId="4" borderId="1" pivotButton="0" quotePrefix="0" xfId="0"/>
    <xf numFmtId="164" fontId="5" fillId="3" borderId="1" pivotButton="0" quotePrefix="0" xfId="0"/>
    <xf numFmtId="164" fontId="5" fillId="4" borderId="1" pivotButton="0" quotePrefix="0" xfId="0"/>
    <xf numFmtId="0" fontId="5" fillId="5" borderId="1" pivotButton="0" quotePrefix="0" xfId="0"/>
    <xf numFmtId="0" fontId="4" fillId="5" borderId="1" pivotButton="0" quotePrefix="0" xfId="0"/>
    <xf numFmtId="164" fontId="4" fillId="5" borderId="1" pivotButton="0" quotePrefix="0" xfId="0"/>
    <xf numFmtId="164" fontId="5" fillId="5" borderId="1" pivotButton="0" quotePrefix="0" xfId="0"/>
    <xf numFmtId="0" fontId="5" fillId="6" borderId="1" pivotButton="0" quotePrefix="0" xfId="0"/>
    <xf numFmtId="0" fontId="4" fillId="6" borderId="1" pivotButton="0" quotePrefix="0" xfId="0"/>
    <xf numFmtId="164" fontId="4" fillId="6" borderId="1" pivotButton="0" quotePrefix="0" xfId="0"/>
    <xf numFmtId="164" fontId="5" fillId="6" borderId="1" pivotButton="0" quotePrefix="0" xfId="0"/>
    <xf numFmtId="0" fontId="5" fillId="6" borderId="2" pivotButton="0" quotePrefix="0" xfId="0"/>
    <xf numFmtId="164" fontId="5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1"/>
  <sheetViews>
    <sheetView showGridLines="1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Planilla de Revisión de Precios Unitarios - HAM Estructuras Metálicas</t>
        </is>
      </c>
    </row>
    <row r="3">
      <c r="A3" s="2" t="inlineStr">
        <is>
          <t>Proyecto: P-2026-0010 - Pérgola-Tendedero Casa Nura (Son Parc) · Cliente: Maximiliano Ventin</t>
        </is>
      </c>
    </row>
    <row r="5">
      <c r="A5" s="3" t="inlineStr">
        <is>
          <t>Instrucciones de Uso:</t>
        </is>
      </c>
    </row>
    <row r="6">
      <c r="A6" s="4" t="inlineStr">
        <is>
          <t>1. Vaya a la pestaña 'Precios Unitarios'.</t>
        </is>
      </c>
    </row>
    <row r="7">
      <c r="A7" s="4" t="inlineStr">
        <is>
          <t>2. Modifique los valores únicamente en la columna 'Nuevo Precio Unitario (EUR)' (Columna F, celda de color dorado).</t>
        </is>
      </c>
    </row>
    <row r="8">
      <c r="A8" s="4" t="inlineStr">
        <is>
          <t>3. La columna 'Total Nuevo (EUR)' se recalculará automáticamente usando fórmulas de Excel.</t>
        </is>
      </c>
    </row>
    <row r="9">
      <c r="A9" s="4" t="inlineStr">
        <is>
          <t>4. Al terminar de corregir los precios, guarde el archivo y envíelo de vuelta.</t>
        </is>
      </c>
    </row>
    <row r="10">
      <c r="A10" s="4" t="inlineStr">
        <is>
          <t>5. Nuestra oficina técnica regenerará inmediatamente los archivos oficiales del presupuesto (HTML y PDF) con sus nuevos unitarios.</t>
        </is>
      </c>
    </row>
    <row r="11">
      <c r="A11" s="5" t="inlineStr">
        <is>
          <t>Nota técnica: Las celdas de las columnas E y F están formateadas como moneda. Por favor ingrese solo números reales.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0" customWidth="1" min="4" max="4"/>
    <col width="28" customWidth="1" min="5" max="5"/>
    <col width="28" customWidth="1" min="6" max="6"/>
    <col width="28" customWidth="1" min="7" max="7"/>
    <col width="28" customWidth="1" min="8" max="8"/>
    <col width="43" customWidth="1" min="9" max="9"/>
  </cols>
  <sheetData>
    <row r="1"/>
    <row r="2" ht="28" customHeight="1">
      <c r="A2" s="6" t="inlineStr">
        <is>
          <t>Categoría</t>
        </is>
      </c>
      <c r="B2" s="6" t="inlineStr">
        <is>
          <t>Concepto</t>
        </is>
      </c>
      <c r="C2" s="6" t="inlineStr">
        <is>
          <t>Cantidad</t>
        </is>
      </c>
      <c r="D2" s="6" t="inlineStr">
        <is>
          <t>Unidad</t>
        </is>
      </c>
      <c r="E2" s="6" t="inlineStr">
        <is>
          <t>Precio Unitario Actual (EUR)</t>
        </is>
      </c>
      <c r="F2" s="6" t="inlineStr">
        <is>
          <t>Nuevo Precio Unitario (EUR)</t>
        </is>
      </c>
      <c r="G2" s="6" t="inlineStr">
        <is>
          <t>Total Actual (EUR)</t>
        </is>
      </c>
      <c r="H2" s="6" t="inlineStr">
        <is>
          <t>Total Nuevo (EUR)</t>
        </is>
      </c>
      <c r="I2" s="6" t="inlineStr">
        <is>
          <t>Notas / Comentarios de Revisión</t>
        </is>
      </c>
    </row>
    <row r="3">
      <c r="A3" s="7" t="inlineStr">
        <is>
          <t>Opción A (Acero Dúplex)</t>
        </is>
      </c>
      <c r="B3" s="8" t="inlineStr">
        <is>
          <t>Estructura base (Acero al carbono S275 bruto en kg, con 8% de merma)</t>
        </is>
      </c>
      <c r="C3" s="8" t="n">
        <v>492</v>
      </c>
      <c r="D3" s="8" t="inlineStr">
        <is>
          <t>kg</t>
        </is>
      </c>
      <c r="E3" s="9" t="n">
        <v>1.6</v>
      </c>
      <c r="F3" s="10" t="n">
        <v>1.6</v>
      </c>
      <c r="G3" s="9">
        <f>C3*E3</f>
        <v/>
      </c>
      <c r="H3" s="11">
        <f>C3*F3</f>
        <v/>
      </c>
      <c r="I3" s="8" t="inlineStr">
        <is>
          <t>Incluye fustes, brazos y pletinas</t>
        </is>
      </c>
    </row>
    <row r="4">
      <c r="A4" s="7" t="inlineStr">
        <is>
          <t>Opción A (Acero Dúplex)</t>
        </is>
      </c>
      <c r="B4" s="8" t="inlineStr">
        <is>
          <t>Tratamiento superficial Dúplex (Desengrase, granallado, galvanizado UNE-EN ISO 1461 + lacado al horno)</t>
        </is>
      </c>
      <c r="C4" s="8" t="n">
        <v>455</v>
      </c>
      <c r="D4" s="8" t="inlineStr">
        <is>
          <t>kg</t>
        </is>
      </c>
      <c r="E4" s="9" t="n">
        <v>3.7</v>
      </c>
      <c r="F4" s="10" t="n">
        <v>3.7</v>
      </c>
      <c r="G4" s="9">
        <f>C4*E4</f>
        <v/>
      </c>
      <c r="H4" s="11">
        <f>C4*F4</f>
        <v/>
      </c>
      <c r="I4" s="8" t="inlineStr">
        <is>
          <t>Para ambiente C5 marino severo</t>
        </is>
      </c>
    </row>
    <row r="5">
      <c r="A5" s="7" t="inlineStr">
        <is>
          <t>Opción A (Acero Dúplex)</t>
        </is>
      </c>
      <c r="B5" s="8" t="inlineStr">
        <is>
          <t>Cables Trellis e Inox AISI 316 (Cable Ø6 mm 1x19, stays superiores, tensores M8 y terminales oliva)</t>
        </is>
      </c>
      <c r="C5" s="8" t="n">
        <v>264</v>
      </c>
      <c r="D5" s="8" t="inlineStr">
        <is>
          <t>ml</t>
        </is>
      </c>
      <c r="E5" s="9" t="n">
        <v>6.05</v>
      </c>
      <c r="F5" s="10" t="n">
        <v>6.05</v>
      </c>
      <c r="G5" s="9">
        <f>C5*E5</f>
        <v/>
      </c>
      <c r="H5" s="11">
        <f>C5*F5</f>
        <v/>
      </c>
      <c r="I5" s="8" t="inlineStr">
        <is>
          <t>Kit completo por metro de trellis</t>
        </is>
      </c>
    </row>
    <row r="6">
      <c r="A6" s="7" t="inlineStr">
        <is>
          <t>Opción A (Acero Dúplex)</t>
        </is>
      </c>
      <c r="B6" s="8" t="inlineStr">
        <is>
          <t>Pernos cimentación M16 x 400 mm A4-80 inoxidables + Resina química bicomponente</t>
        </is>
      </c>
      <c r="C6" s="8" t="n">
        <v>24</v>
      </c>
      <c r="D6" s="8" t="inlineStr">
        <is>
          <t>ud</t>
        </is>
      </c>
      <c r="E6" s="9" t="n">
        <v>25</v>
      </c>
      <c r="F6" s="10" t="n">
        <v>25</v>
      </c>
      <c r="G6" s="9">
        <f>C6*E6</f>
        <v/>
      </c>
      <c r="H6" s="11">
        <f>C6*F6</f>
        <v/>
      </c>
      <c r="I6" s="8" t="inlineStr">
        <is>
          <t>Anclaje químico estructural</t>
        </is>
      </c>
    </row>
    <row r="7">
      <c r="A7" s="7" t="inlineStr">
        <is>
          <t>Opción A (Acero Dúplex)</t>
        </is>
      </c>
      <c r="B7" s="8" t="inlineStr">
        <is>
          <t>Tornillería pasante M12 fachada, camisas e Inox A4 con pletinas soporte</t>
        </is>
      </c>
      <c r="C7" s="8" t="n">
        <v>20</v>
      </c>
      <c r="D7" s="8" t="inlineStr">
        <is>
          <t>ud</t>
        </is>
      </c>
      <c r="E7" s="9" t="n">
        <v>12.6</v>
      </c>
      <c r="F7" s="10" t="n">
        <v>12.6</v>
      </c>
      <c r="G7" s="9">
        <f>C7*E7</f>
        <v/>
      </c>
      <c r="H7" s="11">
        <f>C7*F7</f>
        <v/>
      </c>
      <c r="I7" s="8" t="inlineStr">
        <is>
          <t>Fijación a columnas de fachada</t>
        </is>
      </c>
    </row>
    <row r="8">
      <c r="A8" s="7" t="inlineStr">
        <is>
          <t>Opción A (Acero Dúplex)</t>
        </is>
      </c>
      <c r="B8" s="8" t="inlineStr">
        <is>
          <t>Consumibles de taller específicos (soldadura, gas, discos de corte/repaso)</t>
        </is>
      </c>
      <c r="C8" s="8" t="n">
        <v>1</v>
      </c>
      <c r="D8" s="8" t="inlineStr">
        <is>
          <t>ud</t>
        </is>
      </c>
      <c r="E8" s="9" t="n">
        <v>220</v>
      </c>
      <c r="F8" s="10" t="n">
        <v>220</v>
      </c>
      <c r="G8" s="9">
        <f>C8*E8</f>
        <v/>
      </c>
      <c r="H8" s="11">
        <f>C8*F8</f>
        <v/>
      </c>
      <c r="I8" s="8" t="inlineStr">
        <is>
          <t>Coste global consumibles</t>
        </is>
      </c>
    </row>
    <row r="9">
      <c r="A9" s="7" t="inlineStr">
        <is>
          <t>Opción A (Acero Dúplex)</t>
        </is>
      </c>
      <c r="B9" s="8" t="inlineStr">
        <is>
          <t>Mano de obra Taller (Corte, armado, soldadura y repaso de estructura)</t>
        </is>
      </c>
      <c r="C9" s="8" t="n">
        <v>60</v>
      </c>
      <c r="D9" s="8" t="inlineStr">
        <is>
          <t>h</t>
        </is>
      </c>
      <c r="E9" s="9" t="n">
        <v>30</v>
      </c>
      <c r="F9" s="10" t="n">
        <v>30</v>
      </c>
      <c r="G9" s="9">
        <f>C9*E9</f>
        <v/>
      </c>
      <c r="H9" s="11">
        <f>C9*F9</f>
        <v/>
      </c>
      <c r="I9" s="8" t="inlineStr">
        <is>
          <t>Oficial de herrería</t>
        </is>
      </c>
    </row>
    <row r="10">
      <c r="A10" s="7" t="inlineStr">
        <is>
          <t>Opción A (Acero Dúplex)</t>
        </is>
      </c>
      <c r="B10" s="8" t="inlineStr">
        <is>
          <t>Mano de obra Montaje en Son Parc (Izado, aplomado, enhebrado de trellis y stays)</t>
        </is>
      </c>
      <c r="C10" s="8" t="n">
        <v>48</v>
      </c>
      <c r="D10" s="8" t="inlineStr">
        <is>
          <t>h</t>
        </is>
      </c>
      <c r="E10" s="9" t="n">
        <v>30</v>
      </c>
      <c r="F10" s="10" t="n">
        <v>30</v>
      </c>
      <c r="G10" s="9">
        <f>C10*E10</f>
        <v/>
      </c>
      <c r="H10" s="11">
        <f>C10*F10</f>
        <v/>
      </c>
      <c r="I10" s="8" t="inlineStr">
        <is>
          <t>2 oficiales en obra</t>
        </is>
      </c>
    </row>
    <row r="11">
      <c r="A11" s="7" t="inlineStr">
        <is>
          <t>Opción A (Acero Dúplex)</t>
        </is>
      </c>
      <c r="B11" s="8" t="inlineStr">
        <is>
          <t>Transporte marítimo Barcelona-&gt;Menorca y portes locales a pie de obra en Son Parc</t>
        </is>
      </c>
      <c r="C11" s="8" t="n">
        <v>1</v>
      </c>
      <c r="D11" s="8" t="inlineStr">
        <is>
          <t>ud</t>
        </is>
      </c>
      <c r="E11" s="9" t="n">
        <v>350</v>
      </c>
      <c r="F11" s="10" t="n">
        <v>350</v>
      </c>
      <c r="G11" s="9">
        <f>C11*E11</f>
        <v/>
      </c>
      <c r="H11" s="11">
        <f>C11*F11</f>
        <v/>
      </c>
      <c r="I11" s="8" t="inlineStr">
        <is>
          <t>Coste de logística cerrado</t>
        </is>
      </c>
    </row>
    <row r="12">
      <c r="A12" s="7" t="inlineStr">
        <is>
          <t>Opción A (Acero Dúplex)</t>
        </is>
      </c>
      <c r="B12" s="8" t="inlineStr">
        <is>
          <t>Oficina técnica (Planos de replanteo CNC, despiece tridimensional y coordinación)</t>
        </is>
      </c>
      <c r="C12" s="8" t="n">
        <v>1</v>
      </c>
      <c r="D12" s="8" t="inlineStr">
        <is>
          <t>ud</t>
        </is>
      </c>
      <c r="E12" s="9" t="n">
        <v>400</v>
      </c>
      <c r="F12" s="10" t="n">
        <v>400</v>
      </c>
      <c r="G12" s="9">
        <f>C12*E12</f>
        <v/>
      </c>
      <c r="H12" s="11">
        <f>C12*F12</f>
        <v/>
      </c>
      <c r="I12" s="8" t="inlineStr">
        <is>
          <t>Coste ingeniería HAM</t>
        </is>
      </c>
    </row>
    <row r="13">
      <c r="A13" s="12" t="inlineStr">
        <is>
          <t>Opción B (Inox AISI 316)</t>
        </is>
      </c>
      <c r="B13" s="13" t="inlineStr">
        <is>
          <t>Tubo fuste Inox AISI 316 Ø139,7x4 mm cepillado satinado (longitud con merma)</t>
        </is>
      </c>
      <c r="C13" s="13" t="n">
        <v>22.1</v>
      </c>
      <c r="D13" s="13" t="inlineStr">
        <is>
          <t>ml</t>
        </is>
      </c>
      <c r="E13" s="14" t="n">
        <v>110</v>
      </c>
      <c r="F13" s="10" t="n">
        <v>110</v>
      </c>
      <c r="G13" s="14">
        <f>C13*E13</f>
        <v/>
      </c>
      <c r="H13" s="15">
        <f>C13*F13</f>
        <v/>
      </c>
      <c r="I13" s="13" t="inlineStr">
        <is>
          <t>Tarifa de fuste indicada por cliente</t>
        </is>
      </c>
    </row>
    <row r="14">
      <c r="A14" s="12" t="inlineStr">
        <is>
          <t>Opción B (Inox AISI 316)</t>
        </is>
      </c>
      <c r="B14" s="13" t="inlineStr">
        <is>
          <t>Tubo brazos Inox AISI 316 60x60x4 mm en kg (con 8% de merma)</t>
        </is>
      </c>
      <c r="C14" s="13" t="n">
        <v>91.8</v>
      </c>
      <c r="D14" s="13" t="inlineStr">
        <is>
          <t>kg</t>
        </is>
      </c>
      <c r="E14" s="14" t="n">
        <v>8.5</v>
      </c>
      <c r="F14" s="10" t="n">
        <v>8.5</v>
      </c>
      <c r="G14" s="14">
        <f>C14*E14</f>
        <v/>
      </c>
      <c r="H14" s="15">
        <f>C14*F14</f>
        <v/>
      </c>
      <c r="I14" s="13" t="inlineStr">
        <is>
          <t>Brazos en acero inoxidable</t>
        </is>
      </c>
    </row>
    <row r="15">
      <c r="A15" s="12" t="inlineStr">
        <is>
          <t>Opción B (Inox AISI 316)</t>
        </is>
      </c>
      <c r="B15" s="13" t="inlineStr">
        <is>
          <t>Redondo macizo Inox AISI 316 Ø30 mm en kg (con 8% de merma)</t>
        </is>
      </c>
      <c r="C15" s="13" t="n">
        <v>42</v>
      </c>
      <c r="D15" s="13" t="inlineStr">
        <is>
          <t>kg</t>
        </is>
      </c>
      <c r="E15" s="14" t="n">
        <v>8.5</v>
      </c>
      <c r="F15" s="10" t="n">
        <v>8.5</v>
      </c>
      <c r="G15" s="14">
        <f>C15*E15</f>
        <v/>
      </c>
      <c r="H15" s="15">
        <f>C15*F15</f>
        <v/>
      </c>
      <c r="I15" s="13" t="inlineStr">
        <is>
          <t>Cartelas de refuerzo en inoxidable</t>
        </is>
      </c>
    </row>
    <row r="16">
      <c r="A16" s="12" t="inlineStr">
        <is>
          <t>Opción B (Inox AISI 316)</t>
        </is>
      </c>
      <c r="B16" s="13" t="inlineStr">
        <is>
          <t>Chapas base, rigidizadores y accesorios Inox AISI 316 en chapa 8/12mm (con mermas)</t>
        </is>
      </c>
      <c r="C16" s="13" t="n">
        <v>54.3</v>
      </c>
      <c r="D16" s="13" t="inlineStr">
        <is>
          <t>kg</t>
        </is>
      </c>
      <c r="E16" s="14" t="n">
        <v>9.5</v>
      </c>
      <c r="F16" s="10" t="n">
        <v>9.5</v>
      </c>
      <c r="G16" s="14">
        <f>C16*E16</f>
        <v/>
      </c>
      <c r="H16" s="15">
        <f>C16*F16</f>
        <v/>
      </c>
      <c r="I16" s="13" t="inlineStr">
        <is>
          <t>Corte láser de chapas inox</t>
        </is>
      </c>
    </row>
    <row r="17">
      <c r="A17" s="12" t="inlineStr">
        <is>
          <t>Opción B (Inox AISI 316)</t>
        </is>
      </c>
      <c r="B17" s="13" t="inlineStr">
        <is>
          <t>Tratamiento especial satinado fustes + Pintura de poliuretano al horno para brazos</t>
        </is>
      </c>
      <c r="C17" s="13" t="n">
        <v>1</v>
      </c>
      <c r="D17" s="13" t="inlineStr">
        <is>
          <t>ud</t>
        </is>
      </c>
      <c r="E17" s="14" t="n">
        <v>975</v>
      </c>
      <c r="F17" s="10" t="n">
        <v>975</v>
      </c>
      <c r="G17" s="14">
        <f>C17*E17</f>
        <v/>
      </c>
      <c r="H17" s="15">
        <f>C17*F17</f>
        <v/>
      </c>
      <c r="I17" s="13" t="inlineStr">
        <is>
          <t>Acabados estéticos combinados</t>
        </is>
      </c>
    </row>
    <row r="18">
      <c r="A18" s="12" t="inlineStr">
        <is>
          <t>Opción B (Inox AISI 316)</t>
        </is>
      </c>
      <c r="B18" s="13" t="inlineStr">
        <is>
          <t>Cables Trellis e Inox AISI 316 (Cable Ø6 mm 1x19, stays superiores, tensores M8 y terminales oliva)</t>
        </is>
      </c>
      <c r="C18" s="13" t="n">
        <v>264</v>
      </c>
      <c r="D18" s="13" t="inlineStr">
        <is>
          <t>ml</t>
        </is>
      </c>
      <c r="E18" s="14" t="n">
        <v>6.05</v>
      </c>
      <c r="F18" s="10" t="n">
        <v>6.05</v>
      </c>
      <c r="G18" s="14">
        <f>C18*E18</f>
        <v/>
      </c>
      <c r="H18" s="15">
        <f>C18*F18</f>
        <v/>
      </c>
      <c r="I18" s="13" t="inlineStr">
        <is>
          <t>Kit completo por metro de trellis</t>
        </is>
      </c>
    </row>
    <row r="19">
      <c r="A19" s="12" t="inlineStr">
        <is>
          <t>Opción B (Inox AISI 316)</t>
        </is>
      </c>
      <c r="B19" s="13" t="inlineStr">
        <is>
          <t>Pernos cimentación M16 x 400 mm A4-80 inoxidables + Resina química bicomponente</t>
        </is>
      </c>
      <c r="C19" s="13" t="n">
        <v>24</v>
      </c>
      <c r="D19" s="13" t="inlineStr">
        <is>
          <t>ud</t>
        </is>
      </c>
      <c r="E19" s="14" t="n">
        <v>25</v>
      </c>
      <c r="F19" s="10" t="n">
        <v>25</v>
      </c>
      <c r="G19" s="14">
        <f>C19*E19</f>
        <v/>
      </c>
      <c r="H19" s="15">
        <f>C19*F19</f>
        <v/>
      </c>
      <c r="I19" s="13" t="inlineStr">
        <is>
          <t>Anclaje químico estructural</t>
        </is>
      </c>
    </row>
    <row r="20">
      <c r="A20" s="12" t="inlineStr">
        <is>
          <t>Opción B (Inox AISI 316)</t>
        </is>
      </c>
      <c r="B20" s="13" t="inlineStr">
        <is>
          <t>Tornillería pasante M12 fachada, camisas e Inox A4 con pletinas soporte</t>
        </is>
      </c>
      <c r="C20" s="13" t="n">
        <v>20</v>
      </c>
      <c r="D20" s="13" t="inlineStr">
        <is>
          <t>ud</t>
        </is>
      </c>
      <c r="E20" s="14" t="n">
        <v>12.6</v>
      </c>
      <c r="F20" s="10" t="n">
        <v>12.6</v>
      </c>
      <c r="G20" s="14">
        <f>C20*E20</f>
        <v/>
      </c>
      <c r="H20" s="15">
        <f>C20*F20</f>
        <v/>
      </c>
      <c r="I20" s="13" t="inlineStr">
        <is>
          <t>Fijación a columnas de fachada</t>
        </is>
      </c>
    </row>
    <row r="21">
      <c r="A21" s="12" t="inlineStr">
        <is>
          <t>Opción B (Inox AISI 316)</t>
        </is>
      </c>
      <c r="B21" s="13" t="inlineStr">
        <is>
          <t>Consumibles de taller específicos (discos especiales inox, gas argón, hilo TIG)</t>
        </is>
      </c>
      <c r="C21" s="13" t="n">
        <v>1</v>
      </c>
      <c r="D21" s="13" t="inlineStr">
        <is>
          <t>ud</t>
        </is>
      </c>
      <c r="E21" s="14" t="n">
        <v>380</v>
      </c>
      <c r="F21" s="10" t="n">
        <v>380</v>
      </c>
      <c r="G21" s="14">
        <f>C21*E21</f>
        <v/>
      </c>
      <c r="H21" s="15">
        <f>C21*F21</f>
        <v/>
      </c>
      <c r="I21" s="13" t="inlineStr">
        <is>
          <t>Coste global consumibles inox</t>
        </is>
      </c>
    </row>
    <row r="22">
      <c r="A22" s="12" t="inlineStr">
        <is>
          <t>Opción B (Inox AISI 316)</t>
        </is>
      </c>
      <c r="B22" s="13" t="inlineStr">
        <is>
          <t>Mano de obra Taller (Corte, armado, soldadura TIG y pulido/satinado de inox)</t>
        </is>
      </c>
      <c r="C22" s="13" t="n">
        <v>104</v>
      </c>
      <c r="D22" s="13" t="inlineStr">
        <is>
          <t>h</t>
        </is>
      </c>
      <c r="E22" s="14" t="n">
        <v>35</v>
      </c>
      <c r="F22" s="10" t="n">
        <v>35</v>
      </c>
      <c r="G22" s="14">
        <f>C22*E22</f>
        <v/>
      </c>
      <c r="H22" s="15">
        <f>C22*F22</f>
        <v/>
      </c>
      <c r="I22" s="13" t="inlineStr">
        <is>
          <t>Herrero especialista en acero inoxidable</t>
        </is>
      </c>
    </row>
    <row r="23">
      <c r="A23" s="12" t="inlineStr">
        <is>
          <t>Opción B (Inox AISI 316)</t>
        </is>
      </c>
      <c r="B23" s="13" t="inlineStr">
        <is>
          <t>Mano de obra Montaje en Son Parc (Izado, aplomado, enhebrado de trellis y stays)</t>
        </is>
      </c>
      <c r="C23" s="13" t="n">
        <v>48</v>
      </c>
      <c r="D23" s="13" t="inlineStr">
        <is>
          <t>h</t>
        </is>
      </c>
      <c r="E23" s="14" t="n">
        <v>30</v>
      </c>
      <c r="F23" s="10" t="n">
        <v>30</v>
      </c>
      <c r="G23" s="14">
        <f>C23*E23</f>
        <v/>
      </c>
      <c r="H23" s="15">
        <f>C23*F23</f>
        <v/>
      </c>
      <c r="I23" s="13" t="inlineStr">
        <is>
          <t>2 oficiales en obra</t>
        </is>
      </c>
    </row>
    <row r="24">
      <c r="A24" s="12" t="inlineStr">
        <is>
          <t>Opción B (Inox AISI 316)</t>
        </is>
      </c>
      <c r="B24" s="13" t="inlineStr">
        <is>
          <t>Transporte marítimo Barcelona-&gt;Menorca y portes locales a pie de obra en Son Parc</t>
        </is>
      </c>
      <c r="C24" s="13" t="n">
        <v>1</v>
      </c>
      <c r="D24" s="13" t="inlineStr">
        <is>
          <t>ud</t>
        </is>
      </c>
      <c r="E24" s="14" t="n">
        <v>350</v>
      </c>
      <c r="F24" s="10" t="n">
        <v>350</v>
      </c>
      <c r="G24" s="14">
        <f>C24*E24</f>
        <v/>
      </c>
      <c r="H24" s="15">
        <f>C24*F24</f>
        <v/>
      </c>
      <c r="I24" s="13" t="inlineStr">
        <is>
          <t>Coste de logística cerrado</t>
        </is>
      </c>
    </row>
    <row r="25">
      <c r="A25" s="12" t="inlineStr">
        <is>
          <t>Opción B (Inox AISI 316)</t>
        </is>
      </c>
      <c r="B25" s="13" t="inlineStr">
        <is>
          <t>Oficina técnica (Planos de replanteo CNC, despiece tridimensional y coordinación)</t>
        </is>
      </c>
      <c r="C25" s="13" t="n">
        <v>1</v>
      </c>
      <c r="D25" s="13" t="inlineStr">
        <is>
          <t>ud</t>
        </is>
      </c>
      <c r="E25" s="14" t="n">
        <v>500</v>
      </c>
      <c r="F25" s="10" t="n">
        <v>500</v>
      </c>
      <c r="G25" s="14">
        <f>C25*E25</f>
        <v/>
      </c>
      <c r="H25" s="15">
        <f>C25*F25</f>
        <v/>
      </c>
      <c r="I25" s="13" t="inlineStr">
        <is>
          <t>Coste ingeniería HAM Inox</t>
        </is>
      </c>
    </row>
    <row r="26">
      <c r="A26" s="16" t="inlineStr">
        <is>
          <t>Obra Civil (Opcional)</t>
        </is>
      </c>
      <c r="B26" s="17" t="inlineStr">
        <is>
          <t>Excavación de pozos de cimentación de 50x50x60 cm en terreno de Son Parc</t>
        </is>
      </c>
      <c r="C26" s="17" t="n">
        <v>6</v>
      </c>
      <c r="D26" s="17" t="inlineStr">
        <is>
          <t>ud</t>
        </is>
      </c>
      <c r="E26" s="18" t="n">
        <v>58.33</v>
      </c>
      <c r="F26" s="10" t="n">
        <v>58.33</v>
      </c>
      <c r="G26" s="18">
        <f>C26*E26</f>
        <v/>
      </c>
      <c r="H26" s="19">
        <f>C26*F26</f>
        <v/>
      </c>
      <c r="I26" s="17" t="inlineStr">
        <is>
          <t>Pozos de anclaje para fustes</t>
        </is>
      </c>
    </row>
    <row r="27">
      <c r="A27" s="16" t="inlineStr">
        <is>
          <t>Obra Civil (Opcional)</t>
        </is>
      </c>
      <c r="B27" s="17" t="inlineStr">
        <is>
          <t>Suministro de hormigón estructural HA-25/B/20/IIa, colocación, aditivos y transporte</t>
        </is>
      </c>
      <c r="C27" s="17" t="n">
        <v>1</v>
      </c>
      <c r="D27" s="17" t="inlineStr">
        <is>
          <t>m³</t>
        </is>
      </c>
      <c r="E27" s="18" t="n">
        <v>220</v>
      </c>
      <c r="F27" s="10" t="n">
        <v>220</v>
      </c>
      <c r="G27" s="18">
        <f>C27*E27</f>
        <v/>
      </c>
      <c r="H27" s="19">
        <f>C27*F27</f>
        <v/>
      </c>
      <c r="I27" s="17" t="inlineStr">
        <is>
          <t>Vertido directo en pozos</t>
        </is>
      </c>
    </row>
    <row r="28">
      <c r="A28" s="16" t="inlineStr">
        <is>
          <t>Obra Civil (Opcional)</t>
        </is>
      </c>
      <c r="B28" s="17" t="inlineStr">
        <is>
          <t>Armadura de reparto en acero corrugado B500S en parrillas inferiores de reparto</t>
        </is>
      </c>
      <c r="C28" s="17" t="n">
        <v>1</v>
      </c>
      <c r="D28" s="17" t="inlineStr">
        <is>
          <t>ud</t>
        </is>
      </c>
      <c r="E28" s="18" t="n">
        <v>150</v>
      </c>
      <c r="F28" s="10" t="n">
        <v>150</v>
      </c>
      <c r="G28" s="18">
        <f>C28*E28</f>
        <v/>
      </c>
      <c r="H28" s="19">
        <f>C28*F28</f>
        <v/>
      </c>
      <c r="I28" s="17" t="inlineStr">
        <is>
          <t>Refuerzo estructural zapata</t>
        </is>
      </c>
    </row>
    <row r="29">
      <c r="A29" s="16" t="inlineStr">
        <is>
          <t>Obra Civil (Opcional)</t>
        </is>
      </c>
      <c r="B29" s="17" t="inlineStr">
        <is>
          <t>Mano de obra replanteo, colocación de plantillas de precisión y vertido de hormigón</t>
        </is>
      </c>
      <c r="C29" s="17" t="n">
        <v>16</v>
      </c>
      <c r="D29" s="17" t="inlineStr">
        <is>
          <t>h</t>
        </is>
      </c>
      <c r="E29" s="18" t="n">
        <v>30</v>
      </c>
      <c r="F29" s="10" t="n">
        <v>30</v>
      </c>
      <c r="G29" s="18">
        <f>C29*E29</f>
        <v/>
      </c>
      <c r="H29" s="19">
        <f>C29*F29</f>
        <v/>
      </c>
      <c r="I29" s="17" t="inlineStr">
        <is>
          <t>2 oficiales para cimientos</t>
        </is>
      </c>
    </row>
    <row r="30"/>
    <row r="31">
      <c r="A31" s="20" t="n"/>
      <c r="B31" s="20" t="inlineStr">
        <is>
          <t>SUBTOTAL TECNICO BASE OPCION A</t>
        </is>
      </c>
      <c r="C31" s="20" t="n"/>
      <c r="D31" s="20" t="n"/>
      <c r="E31" s="20" t="n"/>
      <c r="F31" s="20" t="n"/>
      <c r="G31" s="21">
        <f>SUM(G3:G12)</f>
        <v/>
      </c>
      <c r="H31" s="21">
        <f>SUM(H3:H12)</f>
        <v/>
      </c>
      <c r="I31" s="20" t="n"/>
    </row>
    <row r="32">
      <c r="A32" s="20" t="n"/>
      <c r="B32" s="20" t="inlineStr">
        <is>
          <t>SUBTOTAL TECNICO BASE OPCION B</t>
        </is>
      </c>
      <c r="C32" s="20" t="n"/>
      <c r="D32" s="20" t="n"/>
      <c r="E32" s="20" t="n"/>
      <c r="F32" s="20" t="n"/>
      <c r="G32" s="21">
        <f>SUM(G13:G25)</f>
        <v/>
      </c>
      <c r="H32" s="21">
        <f>SUM(H13:H25)</f>
        <v/>
      </c>
      <c r="I32" s="20" t="n"/>
    </row>
    <row r="33">
      <c r="A33" s="20" t="n"/>
      <c r="B33" s="20" t="inlineStr">
        <is>
          <t>SUBTOTAL TECNICO BASE OBRA CIVIL</t>
        </is>
      </c>
      <c r="C33" s="20" t="n"/>
      <c r="D33" s="20" t="n"/>
      <c r="E33" s="20" t="n"/>
      <c r="F33" s="20" t="n"/>
      <c r="G33" s="21">
        <f>SUM(G26:G29)</f>
        <v/>
      </c>
      <c r="H33" s="21">
        <f>SUM(H26:H29)</f>
        <v/>
      </c>
      <c r="I33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2026-06-01T08:56:49Z</dcterms:created>
  <dcterms:modified xmlns:dcterms="http://purl.org/dc/terms/" xmlns:xsi="http://www.w3.org/2001/XMLSchema-instance" xsi:type="dcterms:W3CDTF">2026-06-01T08:56:49Z</dcterms:modified>
</cp:coreProperties>
</file>