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6 Ullastre T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b val="1"/>
      <color rgb="00B45309"/>
      <sz val="11"/>
    </font>
    <font>
      <name val="Segoe UI"/>
      <b val="1"/>
      <sz val="9.5"/>
    </font>
    <font>
      <name val="Segoe UI"/>
      <sz val="9.5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HAM ESTRUCTURAS METÁLICAS MENORCA</t>
        </is>
      </c>
    </row>
    <row r="2">
      <c r="A2" s="2" t="inlineStr">
        <is>
          <t>PRESUPUESTO TÉCNICO Y VALORACIÓN ECONÓMICA: P-2026-0046 (REV. 1)</t>
        </is>
      </c>
    </row>
    <row r="4">
      <c r="A4" s="3" t="inlineStr">
        <is>
          <t>Cliente:</t>
        </is>
      </c>
      <c r="B4" s="4" t="inlineStr">
        <is>
          <t>Teresa Echezarreta Codina</t>
        </is>
      </c>
    </row>
    <row r="5">
      <c r="A5" s="3" t="inlineStr">
        <is>
          <t>Ubicación:</t>
        </is>
      </c>
      <c r="B5" s="4" t="inlineStr">
        <is>
          <t>c/ Llaut 59, Urb. Binibeca Vell, Sant Lluís, Menorca</t>
        </is>
      </c>
    </row>
    <row r="6">
      <c r="A6" s="3" t="inlineStr">
        <is>
          <t>Proyecto / Arq.:</t>
        </is>
      </c>
      <c r="B6" s="4" t="inlineStr">
        <is>
          <t>Cristina Moll Taltavull · Expte: 2024 13_MOD (Reforma Unifamiliar con Piscina)</t>
        </is>
      </c>
    </row>
    <row r="7">
      <c r="A7" s="3" t="inlineStr">
        <is>
          <t>Fecha y Validez:</t>
        </is>
      </c>
      <c r="B7" s="4" t="inlineStr">
        <is>
          <t>29/10/2026 · Validez 30 días</t>
        </is>
      </c>
    </row>
    <row r="8">
      <c r="A8" s="3" t="inlineStr">
        <is>
          <t>Concepto:</t>
        </is>
      </c>
      <c r="B8" s="4" t="inlineStr">
        <is>
          <t>Pérgola rústica de madera de Ullastre y bastidor metálico en simple T de 50 mm con cubierta de cañizo, entramado tensor inox y anclajes ocultos para pies descalzos</t>
        </is>
      </c>
    </row>
    <row r="10">
      <c r="A10" s="5" t="inlineStr">
        <is>
          <t>PARÁMETROS TÉCNICOS</t>
        </is>
      </c>
      <c r="B10" s="6" t="inlineStr">
        <is>
          <t>Medidas: 4,00 x 3,00 x 2,50 m (12 m²) | 3 troncos de Ullastre autóctono de Menorca (coste HAM 200€/ud) | Bastidor ligero en perfil simple T de 50 mm (T 50x50x5 S275JR) para alojamiento exacto de cañizo | Acabado exterior pintado (sin galvanizar): imprimación epoxi + poliuretano | Entramado tensor de cables Inox AISI 316 para trepadoras | Cañizo natural cosido | Casquillos empotrados Inox 316 (cero resaltes para transitar descalzo)</t>
        </is>
      </c>
    </row>
    <row r="12">
      <c r="A12" s="7" t="inlineStr">
        <is>
          <t>Partida</t>
        </is>
      </c>
      <c r="B12" s="8" t="inlineStr">
        <is>
          <t>Concepto y Descripción Técnica</t>
        </is>
      </c>
      <c r="C12" s="7" t="inlineStr">
        <is>
          <t>Unidad</t>
        </is>
      </c>
      <c r="D12" s="7" t="inlineStr">
        <is>
          <t>Cantidad</t>
        </is>
      </c>
      <c r="E12" s="7" t="inlineStr">
        <is>
          <t>Precio Unitario (€)</t>
        </is>
      </c>
      <c r="F12" s="7" t="inlineStr">
        <is>
          <t>Importe (€)</t>
        </is>
      </c>
    </row>
    <row r="13">
      <c r="A13" s="9" t="inlineStr">
        <is>
          <t>01</t>
        </is>
      </c>
      <c r="B13" s="10" t="inlineStr">
        <is>
          <t>Replanteo técnico in situ, comprobación de niveles de solera y coordinación con D.F. y albañilería en Binibeca</t>
        </is>
      </c>
      <c r="C13" s="9" t="inlineStr">
        <is>
          <t>lote</t>
        </is>
      </c>
      <c r="D13" s="11" t="n">
        <v>1</v>
      </c>
      <c r="E13" s="12" t="n">
        <v>320</v>
      </c>
      <c r="F13" s="12">
        <f>D13*E13</f>
        <v/>
      </c>
    </row>
    <row r="14">
      <c r="A14" s="9" t="inlineStr">
        <is>
          <t>02</t>
        </is>
      </c>
      <c r="B14" s="10" t="inlineStr">
        <is>
          <t>Sistema de anclaje empotrado invisible 'Pies Descalzos' (Fase 1 previa a solado): casquillos Inox AISI 316 embebidos en solera e=10cm, espárragos macizos inox Ø28 mm y juntas aislantes de neopreno (superficie 100% enrasada bajo porcelánico C3)</t>
        </is>
      </c>
      <c r="C14" s="9" t="inlineStr">
        <is>
          <t>lote</t>
        </is>
      </c>
      <c r="D14" s="11" t="n">
        <v>1</v>
      </c>
      <c r="E14" s="12" t="n">
        <v>480</v>
      </c>
      <c r="F14" s="12">
        <f>D14*E14</f>
        <v/>
      </c>
    </row>
    <row r="15">
      <c r="A15" s="9" t="inlineStr">
        <is>
          <t>03</t>
        </is>
      </c>
      <c r="B15" s="10" t="inlineStr">
        <is>
          <t>Pilares estructurales de madera maciza de Ullastre (acebuche) autóctono de Menorca (Ø140-180 mm, h=2,60 m, coste base HAM 200€/ud): descortezado manual, saneado y doble lasur protector UV marino poro abierto; mecanizado de testas para vástagos ocultos</t>
        </is>
      </c>
      <c r="C15" s="9" t="inlineStr">
        <is>
          <t>ud</t>
        </is>
      </c>
      <c r="D15" s="11" t="n">
        <v>3</v>
      </c>
      <c r="E15" s="12" t="n">
        <v>340</v>
      </c>
      <c r="F15" s="12">
        <f>D15*E15</f>
        <v/>
      </c>
    </row>
    <row r="16">
      <c r="A16" s="9" t="inlineStr">
        <is>
          <t>04</t>
        </is>
      </c>
      <c r="B16" s="10" t="inlineStr">
        <is>
          <t>Fabricación en taller de bastidor metálico en perfil simple T de 50 mm (T 50x50x5 mm S275JR): marco perimetral y viguetas intermedias que alojan el cañizo, cazoletas ocultas sobre ullastres y anclajes químicos murales inox A4</t>
        </is>
      </c>
      <c r="C16" s="9" t="inlineStr">
        <is>
          <t>lote</t>
        </is>
      </c>
      <c r="D16" s="11" t="n">
        <v>1</v>
      </c>
      <c r="E16" s="12" t="n">
        <v>980</v>
      </c>
      <c r="F16" s="12">
        <f>D16*E16</f>
        <v/>
      </c>
    </row>
    <row r="17">
      <c r="A17" s="9" t="inlineStr">
        <is>
          <t>05</t>
        </is>
      </c>
      <c r="B17" s="10" t="inlineStr">
        <is>
          <t>Tratamiento superficial de pintura anticorrosiva de exterior (sin galvanizar): desengrasado, limpieza mecánica, imprimación epoxi fosfatante de alto espesor y esmalte poliuretano alifático bicomponente para intemperie marina</t>
        </is>
      </c>
      <c r="C17" s="9" t="inlineStr">
        <is>
          <t>lote</t>
        </is>
      </c>
      <c r="D17" s="11" t="n">
        <v>1</v>
      </c>
      <c r="E17" s="12" t="n">
        <v>340</v>
      </c>
      <c r="F17" s="12">
        <f>D17*E17</f>
        <v/>
      </c>
    </row>
    <row r="18">
      <c r="A18" s="9" t="inlineStr">
        <is>
          <t>06</t>
        </is>
      </c>
      <c r="B18" s="10" t="inlineStr">
        <is>
          <t>Entramado tensor de cables de acero inoxidable AISI 316 para trepadoras: retícula de cables 1x19 Ø4mm cada 50 cm con tensores de botella náuticos A4 para soporte de carga vegetal y resistencia a vientos</t>
        </is>
      </c>
      <c r="C18" s="9" t="inlineStr">
        <is>
          <t>lote</t>
        </is>
      </c>
      <c r="D18" s="11" t="n">
        <v>1</v>
      </c>
      <c r="E18" s="12" t="n">
        <v>440</v>
      </c>
      <c r="F18" s="12">
        <f>D18*E18</f>
        <v/>
      </c>
    </row>
    <row r="19">
      <c r="A19" s="9" t="inlineStr">
        <is>
          <t>07</t>
        </is>
      </c>
      <c r="B19" s="10" t="inlineStr">
        <is>
          <t>Cubierta de sombreo inmediato de cañizo natural nacional de caña entera, encastrado sobre las alas de los perfiles T de 50 mm con pletinas metálicas y bridas de acero inoxidable AISI 316 cada 30 cm</t>
        </is>
      </c>
      <c r="C19" s="9" t="inlineStr">
        <is>
          <t>m2</t>
        </is>
      </c>
      <c r="D19" s="11" t="n">
        <v>14</v>
      </c>
      <c r="E19" s="12" t="n">
        <v>24</v>
      </c>
      <c r="F19" s="12">
        <f>D19*E19</f>
        <v/>
      </c>
    </row>
    <row r="20">
      <c r="A20" s="9" t="inlineStr">
        <is>
          <t>08</t>
        </is>
      </c>
      <c r="B20" s="10" t="inlineStr">
        <is>
          <t>Transporte a obra a Binibeca Vell, medios auxiliares y montaje en dos fases (Fase 1 entrega/nivelación de vainas; Fase 2 izado bastidor T50, aplomado ullastres, encastre de cañizo y red de cables inox)</t>
        </is>
      </c>
      <c r="C20" s="9" t="inlineStr">
        <is>
          <t>lote</t>
        </is>
      </c>
      <c r="D20" s="11" t="n">
        <v>1</v>
      </c>
      <c r="E20" s="12" t="n">
        <v>950</v>
      </c>
      <c r="F20" s="12">
        <f>D20*E20</f>
        <v/>
      </c>
    </row>
    <row r="22">
      <c r="E22" s="3" t="inlineStr">
        <is>
          <t>Base Imponible:</t>
        </is>
      </c>
      <c r="F22" s="13">
        <f>SUM(F13:F20)</f>
        <v/>
      </c>
    </row>
    <row r="23">
      <c r="E23" s="4" t="inlineStr">
        <is>
          <t>IVA (21%):</t>
        </is>
      </c>
      <c r="F23" s="14">
        <f>F22*0.21</f>
        <v/>
      </c>
    </row>
    <row r="24">
      <c r="E24" s="2" t="inlineStr">
        <is>
          <t>TOTAL PRESUPUESTO:</t>
        </is>
      </c>
      <c r="F24" s="15">
        <f>F22+F23</f>
        <v/>
      </c>
    </row>
    <row r="26">
      <c r="B26" s="3" t="inlineStr">
        <is>
          <t>VARIANTE ALTERNATIVA: Pérgola 4,00 x 2,00 m (8,00 m²)</t>
        </is>
      </c>
      <c r="E26" s="4" t="inlineStr">
        <is>
          <t>Base Imponible:</t>
        </is>
      </c>
      <c r="F26" s="13" t="n">
        <v>3950</v>
      </c>
    </row>
    <row r="27">
      <c r="E27" s="4" t="inlineStr">
        <is>
          <t>Total con IVA (21%):</t>
        </is>
      </c>
      <c r="F27" s="13" t="n">
        <v>4779.5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2026-10-29T06:07:01Z</dcterms:created>
  <dcterms:modified xmlns:dcterms="http://purl.org/dc/terms/" xmlns:xsi="http://www.w3.org/2001/XMLSchema-instance" xsi:type="dcterms:W3CDTF">2026-10-29T06:07:01Z</dcterms:modified>
</cp:coreProperties>
</file>