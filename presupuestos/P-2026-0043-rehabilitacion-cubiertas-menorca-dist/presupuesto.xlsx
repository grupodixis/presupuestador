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3 Menorca D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91C1C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9.5"/>
    </font>
    <font>
      <name val="Segoe UI"/>
      <b val="1"/>
      <color rgb="00FFFFFF"/>
      <sz val="11"/>
    </font>
    <font>
      <name val="Segoe UI"/>
      <b val="1"/>
      <color rgb="00B91C1C"/>
      <sz val="12"/>
    </font>
  </fonts>
  <fills count="6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7" fillId="5" borderId="2" applyAlignment="1" pivotButton="0" quotePrefix="0" xfId="0">
      <alignment horizontal="right"/>
    </xf>
    <xf numFmtId="164" fontId="7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68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P-2026-0043</t>
        </is>
      </c>
    </row>
    <row r="4">
      <c r="A4" s="3" t="inlineStr">
        <is>
          <t>Cliente:</t>
        </is>
      </c>
      <c r="B4" s="4" t="inlineStr">
        <is>
          <t>Menorca Dist (Distribuciones Menorca)</t>
        </is>
      </c>
    </row>
    <row r="5">
      <c r="A5" s="3" t="inlineStr">
        <is>
          <t>Ubicación:</t>
        </is>
      </c>
      <c r="B5" s="4" t="inlineStr">
        <is>
          <t>Avda. Sa Industria 67, Pol. Ind. La Trotxa, 07730 Alaior (Menorca)</t>
        </is>
      </c>
    </row>
    <row r="6">
      <c r="A6" s="3" t="inlineStr">
        <is>
          <t>Fecha:</t>
        </is>
      </c>
      <c r="B6" s="4" t="inlineStr">
        <is>
          <t>26/10/2026</t>
        </is>
      </c>
    </row>
    <row r="7">
      <c r="A7" s="3" t="inlineStr">
        <is>
          <t>Concepto:</t>
        </is>
      </c>
      <c r="B7" s="4" t="inlineStr">
        <is>
          <t>Rehabilitación de Cubiertas de Nave Industrial mediante Sobrecubierta Metálica y Sustitución de Lucernarios</t>
        </is>
      </c>
    </row>
    <row r="9">
      <c r="A9" s="5" t="inlineStr">
        <is>
          <t>PARÁMETROS TÉCNICOS</t>
        </is>
      </c>
      <c r="B9" s="6" t="inlineStr">
        <is>
          <t>Superficie total: 4.429 m² | Chapa grecada onda 40 mm (4.303 m²) | Lucernarios policarbonato compacto (126 m²) | 4 cubiertas (exentas zonas de carga)</t>
        </is>
      </c>
    </row>
    <row r="11">
      <c r="A11" s="3" t="inlineStr">
        <is>
          <t>DESGLOSE DE SUPERFICIES POR SECTORES</t>
        </is>
      </c>
    </row>
    <row r="12">
      <c r="A12" s="7" t="inlineStr">
        <is>
          <t>Sector</t>
        </is>
      </c>
      <c r="B12" s="8" t="inlineStr">
        <is>
          <t>Denominación de la Cubierta</t>
        </is>
      </c>
      <c r="C12" s="8" t="inlineStr">
        <is>
          <t>Tipología Constructiva</t>
        </is>
      </c>
      <c r="D12" s="7" t="inlineStr">
        <is>
          <t>Chapa (m²)</t>
        </is>
      </c>
      <c r="E12" s="7" t="inlineStr">
        <is>
          <t>Translúcido (m²)</t>
        </is>
      </c>
      <c r="F12" s="7" t="inlineStr">
        <is>
          <t>Total (m²)</t>
        </is>
      </c>
    </row>
    <row r="13">
      <c r="A13" s="9" t="inlineStr">
        <is>
          <t>1</t>
        </is>
      </c>
      <c r="B13" s="10" t="inlineStr">
        <is>
          <t>Cubierta a 2 aguas con zona translúcida</t>
        </is>
      </c>
      <c r="C13" s="10" t="inlineStr">
        <is>
          <t>Chapa grecada sobre omegas + policarbonato</t>
        </is>
      </c>
      <c r="D13" s="11" t="n">
        <v>1369</v>
      </c>
      <c r="E13" s="11" t="n">
        <v>126</v>
      </c>
      <c r="F13" s="11" t="n">
        <v>1495</v>
      </c>
    </row>
    <row r="14">
      <c r="A14" s="9" t="inlineStr">
        <is>
          <t>2</t>
        </is>
      </c>
      <c r="B14" s="10" t="inlineStr">
        <is>
          <t>Cubierta a 2 aguas Central</t>
        </is>
      </c>
      <c r="C14" s="10" t="inlineStr">
        <is>
          <t>Chapa grecada sobre omegas</t>
        </is>
      </c>
      <c r="D14" s="11" t="n">
        <v>2430</v>
      </c>
      <c r="E14" s="11" t="n">
        <v>0</v>
      </c>
      <c r="F14" s="11" t="n">
        <v>2430</v>
      </c>
    </row>
    <row r="15">
      <c r="A15" s="9" t="inlineStr">
        <is>
          <t>3</t>
        </is>
      </c>
      <c r="B15" s="10" t="inlineStr">
        <is>
          <t>Cubierta a 1 agua de oficinas</t>
        </is>
      </c>
      <c r="C15" s="10" t="inlineStr">
        <is>
          <t>Chapa grecada con adaptación y cortes en petos</t>
        </is>
      </c>
      <c r="D15" s="11" t="n">
        <v>104</v>
      </c>
      <c r="E15" s="11" t="n">
        <v>0</v>
      </c>
      <c r="F15" s="11" t="n">
        <v>104</v>
      </c>
    </row>
    <row r="16">
      <c r="A16" s="9" t="inlineStr">
        <is>
          <t>4</t>
        </is>
      </c>
      <c r="B16" s="10" t="inlineStr">
        <is>
          <t>Cubierta a 1 agua zona Sur</t>
        </is>
      </c>
      <c r="C16" s="10" t="inlineStr">
        <is>
          <t>Chapa grecada sobre omegas</t>
        </is>
      </c>
      <c r="D16" s="11" t="n">
        <v>400</v>
      </c>
      <c r="E16" s="11" t="n">
        <v>0</v>
      </c>
      <c r="F16" s="11" t="n">
        <v>400</v>
      </c>
    </row>
    <row r="17">
      <c r="A17" s="12" t="inlineStr"/>
      <c r="B17" s="13" t="inlineStr">
        <is>
          <t>TOTALES MEDICIÓN CUBIERTAS:</t>
        </is>
      </c>
      <c r="C17" s="12" t="inlineStr"/>
      <c r="D17" s="14">
        <f>SUM(D13:D16)</f>
        <v/>
      </c>
      <c r="E17" s="14">
        <f>SUM(E13:E16)</f>
        <v/>
      </c>
      <c r="F17" s="14">
        <f>SUM(F13:F16)</f>
        <v/>
      </c>
    </row>
    <row r="19">
      <c r="A19" s="3" t="inlineStr">
        <is>
          <t>CUADRO DE VALORACIÓN ECONÓMICA DE PARTIDAS</t>
        </is>
      </c>
    </row>
    <row r="20">
      <c r="A20" s="15" t="inlineStr">
        <is>
          <t>Partida</t>
        </is>
      </c>
      <c r="B20" s="16" t="inlineStr">
        <is>
          <t>Concepto y Descripción Técnica</t>
        </is>
      </c>
      <c r="C20" s="15" t="inlineStr">
        <is>
          <t>Unidad</t>
        </is>
      </c>
      <c r="D20" s="15" t="inlineStr">
        <is>
          <t>Cantidad</t>
        </is>
      </c>
      <c r="E20" s="15" t="inlineStr">
        <is>
          <t>Precio Unitario (€)</t>
        </is>
      </c>
      <c r="F20" s="15" t="inlineStr">
        <is>
          <t>Importe (€)</t>
        </is>
      </c>
    </row>
    <row r="21">
      <c r="A21" s="17" t="inlineStr">
        <is>
          <t>01</t>
        </is>
      </c>
      <c r="B21" s="18" t="inlineStr">
        <is>
          <t>Sobrecubierta metálica con perfil omega y chapa grecada 40 mm / e=0,6 mm prelacada rojo teja o blanco, con fijación en onda alta con arandela de estanqueidad EPDM y sellado continuo de butilo en solapes</t>
        </is>
      </c>
      <c r="C21" s="17" t="inlineStr">
        <is>
          <t>m2</t>
        </is>
      </c>
      <c r="D21" s="19" t="n">
        <v>4303</v>
      </c>
      <c r="E21" s="20" t="n">
        <v>28.5</v>
      </c>
      <c r="F21" s="20">
        <f>D21*E21</f>
        <v/>
      </c>
    </row>
    <row r="22">
      <c r="A22" s="17" t="inlineStr">
        <is>
          <t>02</t>
        </is>
      </c>
      <c r="B22" s="18" t="inlineStr">
        <is>
          <t>Desmontaje de capa exterior translúcida antigua y sustitución por placas de policarbonato compacto grecado con protección UV doble cara, caballetes de apoyo en cresta y fijación estanca EPDM</t>
        </is>
      </c>
      <c r="C22" s="17" t="inlineStr">
        <is>
          <t>m2</t>
        </is>
      </c>
      <c r="D22" s="19" t="n">
        <v>126</v>
      </c>
      <c r="E22" s="20" t="n">
        <v>54</v>
      </c>
      <c r="F22" s="20">
        <f>D22*E22</f>
        <v/>
      </c>
    </row>
    <row r="23">
      <c r="A23" s="17" t="inlineStr">
        <is>
          <t>03</t>
        </is>
      </c>
      <c r="B23" s="18" t="inlineStr">
        <is>
          <t>Rematería completa en chapa plegada prelacada 0,60 mm: cumbreras troqueladas a dos aguas, coronaciones perimetrales, saltos entre faldones y cortes mecánicos en petos de oficinas</t>
        </is>
      </c>
      <c r="C23" s="17" t="inlineStr">
        <is>
          <t>lote</t>
        </is>
      </c>
      <c r="D23" s="19" t="n">
        <v>1</v>
      </c>
      <c r="E23" s="20" t="n">
        <v>5850</v>
      </c>
      <c r="F23" s="20">
        <f>D23*E23</f>
        <v/>
      </c>
    </row>
    <row r="24">
      <c r="A24" s="17" t="inlineStr">
        <is>
          <t>04</t>
        </is>
      </c>
      <c r="B24" s="18" t="inlineStr">
        <is>
          <t>Transporte marítimo y terrestre a obra en Pol. Ind. La Trotxa (Alaior), medios de elevación (camión grúa pluma para acopio en cubierta) y plataformas elevadoras móviles de personal (PEMP)</t>
        </is>
      </c>
      <c r="C24" s="17" t="inlineStr">
        <is>
          <t>lote</t>
        </is>
      </c>
      <c r="D24" s="19" t="n">
        <v>1</v>
      </c>
      <c r="E24" s="20" t="n">
        <v>8600</v>
      </c>
      <c r="F24" s="20">
        <f>D24*E24</f>
        <v/>
      </c>
    </row>
    <row r="25">
      <c r="A25" s="17" t="inlineStr">
        <is>
          <t>05</t>
        </is>
      </c>
      <c r="B25" s="18" t="inlineStr">
        <is>
          <t>Seguridad y salud en altura: redes anticaídas provisionales bajo lucernarios, líneas de vida de progresión, señalización, EPIs y transporte de sobrantes a gestor autorizado de Menorca</t>
        </is>
      </c>
      <c r="C25" s="17" t="inlineStr">
        <is>
          <t>lote</t>
        </is>
      </c>
      <c r="D25" s="19" t="n">
        <v>1</v>
      </c>
      <c r="E25" s="20" t="n">
        <v>5400</v>
      </c>
      <c r="F25" s="20">
        <f>D25*E25</f>
        <v/>
      </c>
    </row>
    <row r="27">
      <c r="E27" s="21" t="inlineStr">
        <is>
          <t>Base Imponible:</t>
        </is>
      </c>
      <c r="F27" s="22">
        <f>SUM(F21:F25)</f>
        <v/>
      </c>
    </row>
    <row r="28">
      <c r="E28" s="21" t="inlineStr">
        <is>
          <t>I.V.A. (21%):</t>
        </is>
      </c>
      <c r="F28" s="22">
        <f>F27*0.21</f>
        <v/>
      </c>
    </row>
    <row r="29">
      <c r="E29" s="23" t="inlineStr">
        <is>
          <t>TOTAL PRESUPUESTO:</t>
        </is>
      </c>
      <c r="F29" s="24">
        <f>F27+F28</f>
        <v/>
      </c>
    </row>
    <row r="31">
      <c r="A31" s="3" t="inlineStr">
        <is>
          <t>CONDICIONES COMERCIALES Y DE EJECUCIÓN</t>
        </is>
      </c>
    </row>
    <row r="32">
      <c r="A32" s="3" t="inlineStr">
        <is>
          <t>• Forma de pago:</t>
        </is>
      </c>
      <c r="B32" s="4" t="inlineStr">
        <is>
          <t>40% a la formalización (72.256,12 € IVA incl.), 30% al inicio del montaje (54.192,09 € IVA incl.) y 30% a la finalización (54.192,09 € IVA incl.)</t>
        </is>
      </c>
    </row>
    <row r="33">
      <c r="A33" s="3" t="inlineStr">
        <is>
          <t>• Plazo de ejecución:</t>
        </is>
      </c>
      <c r="B33" s="4" t="inlineStr">
        <is>
          <t>4 a 6 semanas laborables desde recepción de materiales en Menorca</t>
        </is>
      </c>
    </row>
    <row r="34">
      <c r="A34" s="3" t="inlineStr">
        <is>
          <t>• Garantía:</t>
        </is>
      </c>
      <c r="B34" s="4" t="inlineStr">
        <is>
          <t>5 años en estanqueidad y recubrimiento prelacado de chapas; 2 años en montaje y fijaciones</t>
        </is>
      </c>
    </row>
    <row r="35">
      <c r="A35" s="3" t="inlineStr">
        <is>
          <t>• Validez:</t>
        </is>
      </c>
      <c r="B35" s="4" t="inlineStr">
        <is>
          <t>30 días naturales desde la fecha de emisión</t>
        </is>
      </c>
    </row>
    <row r="36">
      <c r="A36" s="3" t="inlineStr">
        <is>
          <t>• Exclusiones:</t>
        </is>
      </c>
      <c r="B36" s="4" t="inlineStr">
        <is>
          <t>Quedan exentas las cubiertas de las zonas de carga según indicación. No incluye refuerzos estructurales mayores si existieran vicios ocultos no visibles.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2026-10-26T13:40:41Z</dcterms:created>
  <dcterms:modified xmlns:dcterms="http://purl.org/dc/terms/" xmlns:xsi="http://www.w3.org/2001/XMLSchema-instance" xsi:type="dcterms:W3CDTF">2026-10-26T13:40:41Z</dcterms:modified>
</cp:coreProperties>
</file>