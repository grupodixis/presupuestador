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Cliente" sheetId="1" state="visible" r:id="rId1"/>
    <sheet xmlns:r="http://schemas.openxmlformats.org/officeDocument/2006/relationships" name="Escandallo Costes H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00"/>
    <numFmt numFmtId="166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b val="1"/>
      <color rgb="00B91C1C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9.5"/>
    </font>
    <font>
      <name val="Segoe UI"/>
      <b val="1"/>
      <color rgb="00FFFFFF"/>
      <sz val="11"/>
    </font>
    <font>
      <name val="Segoe UI"/>
      <b val="1"/>
      <color rgb="00B91C1C"/>
      <sz val="12"/>
    </font>
    <font>
      <name val="Segoe UI"/>
      <b val="1"/>
      <color rgb="001E1B4B"/>
      <sz val="15"/>
    </font>
    <font>
      <name val="Segoe UI"/>
      <b val="1"/>
      <color rgb="00EF4444"/>
      <sz val="10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0F172A"/>
        <bgColor rgb="000F172A"/>
      </patternFill>
    </fill>
    <fill>
      <patternFill patternType="solid">
        <fgColor rgb="00FEF2F2"/>
        <bgColor rgb="00FEF2F2"/>
      </patternFill>
    </fill>
    <fill>
      <patternFill patternType="solid">
        <fgColor rgb="001E1B4B"/>
        <bgColor rgb="001E1B4B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2" borderId="1" pivotButton="0" quotePrefix="0" xfId="0"/>
    <xf numFmtId="4" fontId="3" fillId="2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0" fontId="7" fillId="5" borderId="2" applyAlignment="1" pivotButton="0" quotePrefix="0" xfId="0">
      <alignment horizontal="right"/>
    </xf>
    <xf numFmtId="164" fontId="7" fillId="5" borderId="2" pivotButton="0" quotePrefix="0" xfId="0"/>
    <xf numFmtId="0" fontId="8" fillId="0" borderId="0" pivotButton="0" quotePrefix="0" xfId="0"/>
    <xf numFmtId="0" fontId="9" fillId="0" borderId="0" pivotButton="0" quotePrefix="0" xfId="0"/>
    <xf numFmtId="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10" fillId="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/>
    </xf>
    <xf numFmtId="164" fontId="3" fillId="2" borderId="0" pivotButton="0" quotePrefix="0" xfId="0"/>
    <xf numFmtId="0" fontId="5" fillId="3" borderId="0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0" fontId="3" fillId="7" borderId="1" pivotButton="0" quotePrefix="0" xfId="0"/>
    <xf numFmtId="164" fontId="3" fillId="7" borderId="1" applyAlignment="1" pivotButton="0" quotePrefix="0" xfId="0">
      <alignment horizontal="right"/>
    </xf>
    <xf numFmtId="10" fontId="3" fillId="7" borderId="1" applyAlignment="1" pivotButton="0" quotePrefix="0" xfId="0">
      <alignment horizontal="right"/>
    </xf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68" customWidth="1" min="2" max="2"/>
    <col width="10" customWidth="1" min="3" max="3"/>
    <col width="14" customWidth="1" min="4" max="4"/>
    <col width="22" customWidth="1" min="5" max="5"/>
    <col width="22" customWidth="1" min="6" max="6"/>
  </cols>
  <sheetData>
    <row r="1">
      <c r="A1" s="1" t="inlineStr">
        <is>
          <t>HAM ESTRUCTURAS METÁLICAS</t>
        </is>
      </c>
    </row>
    <row r="2">
      <c r="A2" s="2" t="inlineStr">
        <is>
          <t>PRESUPUESTO TÉCNICO Y ECONÓMICO: P-2026-0043</t>
        </is>
      </c>
    </row>
    <row r="4">
      <c r="A4" s="3" t="inlineStr">
        <is>
          <t>Cliente:</t>
        </is>
      </c>
      <c r="B4" s="4" t="inlineStr">
        <is>
          <t>Menorca Dist (Distribuciones Menorca)</t>
        </is>
      </c>
    </row>
    <row r="5">
      <c r="A5" s="3" t="inlineStr">
        <is>
          <t>Ubicación:</t>
        </is>
      </c>
      <c r="B5" s="4" t="inlineStr">
        <is>
          <t>Avda. Sa Industria 67, Pol. Ind. La Trotxa, 07730 Alaior (Menorca)</t>
        </is>
      </c>
    </row>
    <row r="6">
      <c r="A6" s="3" t="inlineStr">
        <is>
          <t>Fecha:</t>
        </is>
      </c>
      <c r="B6" s="4" t="inlineStr">
        <is>
          <t>26/10/2026</t>
        </is>
      </c>
    </row>
    <row r="7">
      <c r="A7" s="3" t="inlineStr">
        <is>
          <t>Concepto:</t>
        </is>
      </c>
      <c r="B7" s="4" t="inlineStr">
        <is>
          <t>Rehabilitación de Cubiertas de Nave Industrial mediante Sobrecubierta Metálica y Sustitución de Lucernarios</t>
        </is>
      </c>
    </row>
    <row r="9">
      <c r="A9" s="5" t="inlineStr">
        <is>
          <t>PARÁMETROS TÉCNICOS</t>
        </is>
      </c>
      <c r="B9" s="6" t="inlineStr">
        <is>
          <t>Superficie total: 4.429 m² | Chapa grecada onda 40 mm (4.303 m²) | Lucernarios policarbonato compacto (126 m²) | 4 cubiertas (exentas zonas de carga)</t>
        </is>
      </c>
    </row>
    <row r="11">
      <c r="A11" s="3" t="inlineStr">
        <is>
          <t>DESGLOSE DE SUPERFICIES POR SECTORES</t>
        </is>
      </c>
    </row>
    <row r="12">
      <c r="A12" s="7" t="inlineStr">
        <is>
          <t>Sector</t>
        </is>
      </c>
      <c r="B12" s="8" t="inlineStr">
        <is>
          <t>Denominación de la Cubierta</t>
        </is>
      </c>
      <c r="C12" s="8" t="inlineStr">
        <is>
          <t>Tipología Constructiva</t>
        </is>
      </c>
      <c r="D12" s="7" t="inlineStr">
        <is>
          <t>Chapa (m²)</t>
        </is>
      </c>
      <c r="E12" s="7" t="inlineStr">
        <is>
          <t>Translúcido (m²)</t>
        </is>
      </c>
      <c r="F12" s="7" t="inlineStr">
        <is>
          <t>Total (m²)</t>
        </is>
      </c>
    </row>
    <row r="13">
      <c r="A13" s="9" t="inlineStr">
        <is>
          <t>1</t>
        </is>
      </c>
      <c r="B13" s="10" t="inlineStr">
        <is>
          <t>Cubierta a 2 aguas con zona translúcida</t>
        </is>
      </c>
      <c r="C13" s="10" t="inlineStr">
        <is>
          <t>Chapa grecada sobre omegas + policarbonato</t>
        </is>
      </c>
      <c r="D13" s="11" t="n">
        <v>1369</v>
      </c>
      <c r="E13" s="11" t="n">
        <v>126</v>
      </c>
      <c r="F13" s="11" t="n">
        <v>1495</v>
      </c>
    </row>
    <row r="14">
      <c r="A14" s="9" t="inlineStr">
        <is>
          <t>2</t>
        </is>
      </c>
      <c r="B14" s="10" t="inlineStr">
        <is>
          <t>Cubierta a 2 aguas Central</t>
        </is>
      </c>
      <c r="C14" s="10" t="inlineStr">
        <is>
          <t>Chapa grecada sobre omegas</t>
        </is>
      </c>
      <c r="D14" s="11" t="n">
        <v>2430</v>
      </c>
      <c r="E14" s="11" t="n">
        <v>0</v>
      </c>
      <c r="F14" s="11" t="n">
        <v>2430</v>
      </c>
    </row>
    <row r="15">
      <c r="A15" s="9" t="inlineStr">
        <is>
          <t>3</t>
        </is>
      </c>
      <c r="B15" s="10" t="inlineStr">
        <is>
          <t>Cubierta a 1 agua de oficinas</t>
        </is>
      </c>
      <c r="C15" s="10" t="inlineStr">
        <is>
          <t>Chapa grecada con adaptación y cortes en petos</t>
        </is>
      </c>
      <c r="D15" s="11" t="n">
        <v>104</v>
      </c>
      <c r="E15" s="11" t="n">
        <v>0</v>
      </c>
      <c r="F15" s="11" t="n">
        <v>104</v>
      </c>
    </row>
    <row r="16">
      <c r="A16" s="9" t="inlineStr">
        <is>
          <t>4</t>
        </is>
      </c>
      <c r="B16" s="10" t="inlineStr">
        <is>
          <t>Cubierta a 1 agua zona Sur</t>
        </is>
      </c>
      <c r="C16" s="10" t="inlineStr">
        <is>
          <t>Chapa grecada sobre omegas</t>
        </is>
      </c>
      <c r="D16" s="11" t="n">
        <v>400</v>
      </c>
      <c r="E16" s="11" t="n">
        <v>0</v>
      </c>
      <c r="F16" s="11" t="n">
        <v>400</v>
      </c>
    </row>
    <row r="17">
      <c r="A17" s="12" t="inlineStr"/>
      <c r="B17" s="13" t="inlineStr">
        <is>
          <t>TOTALES MEDICIÓN CUBIERTAS:</t>
        </is>
      </c>
      <c r="C17" s="12" t="inlineStr"/>
      <c r="D17" s="14">
        <f>SUM(D13:D16)</f>
        <v/>
      </c>
      <c r="E17" s="14">
        <f>SUM(E13:E16)</f>
        <v/>
      </c>
      <c r="F17" s="14">
        <f>SUM(F13:F16)</f>
        <v/>
      </c>
    </row>
    <row r="19">
      <c r="A19" s="3" t="inlineStr">
        <is>
          <t>CUADRO DE VALORACIÓN ECONÓMICA DE PARTIDAS</t>
        </is>
      </c>
    </row>
    <row r="20">
      <c r="A20" s="15" t="inlineStr">
        <is>
          <t>Partida</t>
        </is>
      </c>
      <c r="B20" s="16" t="inlineStr">
        <is>
          <t>Concepto y Descripción Técnica</t>
        </is>
      </c>
      <c r="C20" s="15" t="inlineStr">
        <is>
          <t>Unidad</t>
        </is>
      </c>
      <c r="D20" s="15" t="inlineStr">
        <is>
          <t>Cantidad</t>
        </is>
      </c>
      <c r="E20" s="15" t="inlineStr">
        <is>
          <t>Precio Unitario (€)</t>
        </is>
      </c>
      <c r="F20" s="15" t="inlineStr">
        <is>
          <t>Importe (€)</t>
        </is>
      </c>
    </row>
    <row r="21">
      <c r="A21" s="17" t="inlineStr">
        <is>
          <t>01</t>
        </is>
      </c>
      <c r="B21" s="18" t="inlineStr">
        <is>
          <t>Sobrecubierta metálica con perfil omega y chapa grecada 40 mm / e=0,6 mm prelacada rojo teja o blanco, con fijación en onda alta con arandela de estanqueidad EPDM y sellado continuo de butilo en solapes</t>
        </is>
      </c>
      <c r="C21" s="17" t="inlineStr">
        <is>
          <t>m2</t>
        </is>
      </c>
      <c r="D21" s="19" t="n">
        <v>4303</v>
      </c>
      <c r="E21" s="20" t="n">
        <v>28.5</v>
      </c>
      <c r="F21" s="20">
        <f>D21*E21</f>
        <v/>
      </c>
    </row>
    <row r="22">
      <c r="A22" s="17" t="inlineStr">
        <is>
          <t>02</t>
        </is>
      </c>
      <c r="B22" s="18" t="inlineStr">
        <is>
          <t>Desmontaje de capa exterior translúcida antigua y sustitución por placas de policarbonato compacto grecado con protección UV doble cara, caballetes de apoyo en cresta y fijación estanca EPDM</t>
        </is>
      </c>
      <c r="C22" s="17" t="inlineStr">
        <is>
          <t>m2</t>
        </is>
      </c>
      <c r="D22" s="19" t="n">
        <v>126</v>
      </c>
      <c r="E22" s="20" t="n">
        <v>54</v>
      </c>
      <c r="F22" s="20">
        <f>D22*E22</f>
        <v/>
      </c>
    </row>
    <row r="23">
      <c r="A23" s="17" t="inlineStr">
        <is>
          <t>03</t>
        </is>
      </c>
      <c r="B23" s="18" t="inlineStr">
        <is>
          <t>Rematería completa en chapa plegada prelacada 0,60 mm: cumbreras troqueladas a dos aguas, coronaciones perimetrales, saltos entre faldones y cortes mecánicos en petos de oficinas</t>
        </is>
      </c>
      <c r="C23" s="17" t="inlineStr">
        <is>
          <t>lote</t>
        </is>
      </c>
      <c r="D23" s="19" t="n">
        <v>1</v>
      </c>
      <c r="E23" s="20" t="n">
        <v>5850</v>
      </c>
      <c r="F23" s="20">
        <f>D23*E23</f>
        <v/>
      </c>
    </row>
    <row r="24">
      <c r="A24" s="17" t="inlineStr">
        <is>
          <t>04</t>
        </is>
      </c>
      <c r="B24" s="18" t="inlineStr">
        <is>
          <t>Transporte marítimo y terrestre a obra en Pol. Ind. La Trotxa (Alaior), medios de elevación (camión grúa pluma para acopio en cubierta) y plataformas elevadoras móviles de personal (PEMP)</t>
        </is>
      </c>
      <c r="C24" s="17" t="inlineStr">
        <is>
          <t>lote</t>
        </is>
      </c>
      <c r="D24" s="19" t="n">
        <v>1</v>
      </c>
      <c r="E24" s="20" t="n">
        <v>8600</v>
      </c>
      <c r="F24" s="20">
        <f>D24*E24</f>
        <v/>
      </c>
    </row>
    <row r="25">
      <c r="A25" s="17" t="inlineStr">
        <is>
          <t>05</t>
        </is>
      </c>
      <c r="B25" s="18" t="inlineStr">
        <is>
          <t>Seguridad y salud en altura: redes anticaídas provisionales bajo lucernarios, líneas de vida de progresión, señalización, EPIs y transporte de sobrantes a gestor autorizado de Menorca</t>
        </is>
      </c>
      <c r="C25" s="17" t="inlineStr">
        <is>
          <t>lote</t>
        </is>
      </c>
      <c r="D25" s="19" t="n">
        <v>1</v>
      </c>
      <c r="E25" s="20" t="n">
        <v>5400</v>
      </c>
      <c r="F25" s="20">
        <f>D25*E25</f>
        <v/>
      </c>
    </row>
    <row r="27">
      <c r="E27" s="21" t="inlineStr">
        <is>
          <t>Base Imponible:</t>
        </is>
      </c>
      <c r="F27" s="22">
        <f>SUM(F21:F25)</f>
        <v/>
      </c>
    </row>
    <row r="28">
      <c r="E28" s="21" t="inlineStr">
        <is>
          <t>I.V.A. (21%):</t>
        </is>
      </c>
      <c r="F28" s="22">
        <f>F27*0.21</f>
        <v/>
      </c>
    </row>
    <row r="29">
      <c r="E29" s="23" t="inlineStr">
        <is>
          <t>TOTAL PRESUPUESTO:</t>
        </is>
      </c>
      <c r="F29" s="24">
        <f>F27+F28</f>
        <v/>
      </c>
    </row>
    <row r="31">
      <c r="A31" s="3" t="inlineStr">
        <is>
          <t>CONDICIONES COMERCIALES Y DE EJECUCIÓN</t>
        </is>
      </c>
    </row>
    <row r="32">
      <c r="A32" s="3" t="inlineStr">
        <is>
          <t>• Forma de pago:</t>
        </is>
      </c>
      <c r="B32" s="4" t="inlineStr">
        <is>
          <t>40% a la formalización (72.256,12 € IVA incl.), 30% al inicio del montaje (54.192,09 € IVA incl.) y 30% a la finalización (54.192,09 € IVA incl.)</t>
        </is>
      </c>
    </row>
    <row r="33">
      <c r="A33" s="3" t="inlineStr">
        <is>
          <t>• Plazo de ejecución:</t>
        </is>
      </c>
      <c r="B33" s="4" t="inlineStr">
        <is>
          <t>4 a 6 semanas laborables desde recepción de materiales en Menorca</t>
        </is>
      </c>
    </row>
    <row r="34">
      <c r="A34" s="3" t="inlineStr">
        <is>
          <t>• Garantía:</t>
        </is>
      </c>
      <c r="B34" s="4" t="inlineStr">
        <is>
          <t>5 años en estanqueidad y recubrimiento prelacado de chapas; 2 años en montaje y fijaciones</t>
        </is>
      </c>
    </row>
    <row r="35">
      <c r="A35" s="3" t="inlineStr">
        <is>
          <t>• Validez:</t>
        </is>
      </c>
      <c r="B35" s="4" t="inlineStr">
        <is>
          <t>30 días naturales desde la fecha de emisión</t>
        </is>
      </c>
    </row>
    <row r="36">
      <c r="A36" s="3" t="inlineStr">
        <is>
          <t>• Exclusiones:</t>
        </is>
      </c>
      <c r="B36" s="4" t="inlineStr">
        <is>
          <t>Quedan exentas las cubiertas de las zonas de carga según indicación. No incluye refuerzos estructurales mayores si existieran vicios ocultos no visibles.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16" customWidth="1" min="3" max="3"/>
    <col width="46" customWidth="1" min="4" max="4"/>
    <col width="22" customWidth="1" min="5" max="5"/>
    <col width="22" customWidth="1" min="6" max="6"/>
  </cols>
  <sheetData>
    <row r="1">
      <c r="A1" s="25" t="inlineStr">
        <is>
          <t>HAM ESTRUCTURAS METÁLICAS - ESTUDIO TÉCNICO INTERNO Y ESCANDALLO DE COMPRA</t>
        </is>
      </c>
    </row>
    <row r="2">
      <c r="A2" s="26" t="inlineStr">
        <is>
          <t>CONFIDENCIAL: NO ENTREGAR AL CLIENTE · COSTES REALES DE COMPRA Y MÁRGENES</t>
        </is>
      </c>
    </row>
    <row r="4">
      <c r="A4" s="3" t="inlineStr">
        <is>
          <t>PARÁMETROS DE COMPRA DIRECTA HAM:</t>
        </is>
      </c>
    </row>
    <row r="5">
      <c r="A5" s="3" t="inlineStr">
        <is>
          <t>Coste compra Chapa Común:</t>
        </is>
      </c>
      <c r="B5" s="22" t="n">
        <v>10</v>
      </c>
      <c r="C5" s="4" t="inlineStr">
        <is>
          <t>€/m²</t>
        </is>
      </c>
    </row>
    <row r="6">
      <c r="A6" s="3" t="inlineStr">
        <is>
          <t>Coste compra Omega Galvanizada:</t>
        </is>
      </c>
      <c r="B6" s="22" t="n">
        <v>6</v>
      </c>
      <c r="C6" s="4" t="inlineStr">
        <is>
          <t>€/ml</t>
        </is>
      </c>
    </row>
    <row r="7">
      <c r="A7" s="3" t="inlineStr">
        <is>
          <t>Intereje correas nave Alaior:</t>
        </is>
      </c>
      <c r="B7" s="27" t="n">
        <v>1.35</v>
      </c>
      <c r="C7" s="4" t="inlineStr">
        <is>
          <t>m (distancia entre correas)</t>
        </is>
      </c>
    </row>
    <row r="8">
      <c r="A8" s="3" t="inlineStr">
        <is>
          <t>Ratio lineal de omega necesario:</t>
        </is>
      </c>
      <c r="B8" s="28">
        <f>1/B7</f>
        <v/>
      </c>
      <c r="C8" s="4" t="inlineStr">
        <is>
          <t>ml de omega por m² de faldón</t>
        </is>
      </c>
    </row>
    <row r="9">
      <c r="A9" s="3" t="inlineStr">
        <is>
          <t>Mermas y solapes acopio:</t>
        </is>
      </c>
      <c r="B9" s="29" t="n">
        <v>0.05</v>
      </c>
      <c r="C9" s="4" t="inlineStr">
        <is>
          <t>5% estándar</t>
        </is>
      </c>
    </row>
    <row r="11">
      <c r="A11" s="3" t="inlineStr">
        <is>
          <t>DESGLOSE DE COSTES DIRECTOS DE EJECUCIÓN (CDT HAM)</t>
        </is>
      </c>
    </row>
    <row r="12">
      <c r="A12" s="30" t="inlineStr">
        <is>
          <t>Capítulo</t>
        </is>
      </c>
      <c r="B12" s="31" t="inlineStr">
        <is>
          <t>Concepto de Coste Interno</t>
        </is>
      </c>
      <c r="C12" s="30" t="inlineStr">
        <is>
          <t>Unidad</t>
        </is>
      </c>
      <c r="D12" s="30" t="inlineStr">
        <is>
          <t>Medición</t>
        </is>
      </c>
      <c r="E12" s="30" t="inlineStr">
        <is>
          <t>Coste Unit. HAM (€)</t>
        </is>
      </c>
      <c r="F12" s="30" t="inlineStr">
        <is>
          <t>Coste Total HAM (€)</t>
        </is>
      </c>
    </row>
    <row r="13">
      <c r="A13" s="17" t="inlineStr">
        <is>
          <t>MAT-01</t>
        </is>
      </c>
      <c r="B13" s="18" t="inlineStr">
        <is>
          <t>Chapa grecada onda 40 mm / e=0,6 mm prelacada (4.303 m² + 5% solapes/mermas)</t>
        </is>
      </c>
      <c r="C13" s="17" t="inlineStr">
        <is>
          <t>m²</t>
        </is>
      </c>
      <c r="D13" s="19" t="n">
        <v>4518.15</v>
      </c>
      <c r="E13" s="20">
        <f>B5</f>
        <v/>
      </c>
      <c r="F13" s="20">
        <f>D13*E13</f>
        <v/>
      </c>
    </row>
    <row r="14">
      <c r="A14" s="17" t="inlineStr">
        <is>
          <t>MAT-02</t>
        </is>
      </c>
      <c r="B14" s="18" t="inlineStr">
        <is>
          <t>Perfil omega galvanizado Z-275 (4.303 m² x 0,741 ml/m² + 5% solapes longitudinales)</t>
        </is>
      </c>
      <c r="C14" s="17" t="inlineStr">
        <is>
          <t>ml</t>
        </is>
      </c>
      <c r="D14" s="19" t="n">
        <v>3350</v>
      </c>
      <c r="E14" s="20">
        <f>B6</f>
        <v/>
      </c>
      <c r="F14" s="20">
        <f>D14*E14</f>
        <v/>
      </c>
    </row>
    <row r="15">
      <c r="A15" s="17" t="inlineStr">
        <is>
          <t>MAT-03</t>
        </is>
      </c>
      <c r="B15" s="18" t="inlineStr">
        <is>
          <t>Tornillería bicromatada a correas + fijación onda alta arandela EPDM + cordón butilo</t>
        </is>
      </c>
      <c r="C15" s="17" t="inlineStr">
        <is>
          <t>lote</t>
        </is>
      </c>
      <c r="D15" s="19" t="n">
        <v>1</v>
      </c>
      <c r="E15" s="20" t="n">
        <v>7500</v>
      </c>
      <c r="F15" s="20">
        <f>D15*E15</f>
        <v/>
      </c>
    </row>
    <row r="16">
      <c r="A16" s="17" t="inlineStr">
        <is>
          <t>MAT-04</t>
        </is>
      </c>
      <c r="B16" s="18" t="inlineStr">
        <is>
          <t>Placas policarbonato compacto grecado onda 40 mm (126 m² + fijaciones sobreelevadas)</t>
        </is>
      </c>
      <c r="C16" s="17" t="inlineStr">
        <is>
          <t>lote</t>
        </is>
      </c>
      <c r="D16" s="19" t="n">
        <v>1</v>
      </c>
      <c r="E16" s="20" t="n">
        <v>3978</v>
      </c>
      <c r="F16" s="20">
        <f>D16*E16</f>
        <v/>
      </c>
    </row>
    <row r="17">
      <c r="A17" s="17" t="inlineStr">
        <is>
          <t>MAT-05</t>
        </is>
      </c>
      <c r="B17" s="18" t="inlineStr">
        <is>
          <t>Rematería plegada 0,60 mm (cumbreras troqueladas, coronaciones, saltos y petos)</t>
        </is>
      </c>
      <c r="C17" s="17" t="inlineStr">
        <is>
          <t>lote</t>
        </is>
      </c>
      <c r="D17" s="19" t="n">
        <v>1</v>
      </c>
      <c r="E17" s="20" t="n">
        <v>2400</v>
      </c>
      <c r="F17" s="20">
        <f>D17*E17</f>
        <v/>
      </c>
    </row>
    <row r="18">
      <c r="A18" s="17" t="inlineStr">
        <is>
          <t>MO-01</t>
        </is>
      </c>
      <c r="B18" s="18" t="inlineStr">
        <is>
          <t>Mano de obra especializada montaje sobrecubierta HAM (cuadrilla oficial ~800 h)</t>
        </is>
      </c>
      <c r="C18" s="17" t="inlineStr">
        <is>
          <t>horas</t>
        </is>
      </c>
      <c r="D18" s="19" t="n">
        <v>800</v>
      </c>
      <c r="E18" s="20" t="n">
        <v>28</v>
      </c>
      <c r="F18" s="20">
        <f>D18*E18</f>
        <v/>
      </c>
    </row>
    <row r="19">
      <c r="A19" s="17" t="inlineStr">
        <is>
          <t>LOG-01</t>
        </is>
      </c>
      <c r="B19" s="18" t="inlineStr">
        <is>
          <t>Fletes marítimos Península-Menorca + Camión grúa pluma descarga + Alquiler PEMP</t>
        </is>
      </c>
      <c r="C19" s="17" t="inlineStr">
        <is>
          <t>lote</t>
        </is>
      </c>
      <c r="D19" s="19" t="n">
        <v>1</v>
      </c>
      <c r="E19" s="20" t="n">
        <v>8100</v>
      </c>
      <c r="F19" s="20">
        <f>D19*E19</f>
        <v/>
      </c>
    </row>
    <row r="20">
      <c r="A20" s="17" t="inlineStr">
        <is>
          <t>PRL-01</t>
        </is>
      </c>
      <c r="B20" s="18" t="inlineStr">
        <is>
          <t>Redes anticaídas bajo lucernarios + Líneas de vida temporales + Canon residuos vertedero</t>
        </is>
      </c>
      <c r="C20" s="17" t="inlineStr">
        <is>
          <t>lote</t>
        </is>
      </c>
      <c r="D20" s="19" t="n">
        <v>1</v>
      </c>
      <c r="E20" s="20" t="n">
        <v>3400</v>
      </c>
      <c r="F20" s="20">
        <f>D20*E20</f>
        <v/>
      </c>
    </row>
    <row r="21">
      <c r="E21" s="32" t="inlineStr">
        <is>
          <t>COSTE DIRECTO TOTAL (CDT):</t>
        </is>
      </c>
      <c r="F21" s="33">
        <f>SUM(F13:F20)</f>
        <v/>
      </c>
    </row>
    <row r="23">
      <c r="A23" s="3" t="inlineStr">
        <is>
          <t>CUADRO DE RENTABILIDAD Y BENEFICIO COMERCIAL</t>
        </is>
      </c>
    </row>
    <row r="24">
      <c r="A24" s="34" t="inlineStr">
        <is>
          <t>Concepto Económico</t>
        </is>
      </c>
      <c r="B24" s="34" t="inlineStr">
        <is>
          <t>Importe (€)</t>
        </is>
      </c>
      <c r="C24" s="34" t="inlineStr">
        <is>
          <t>% sobre Venta</t>
        </is>
      </c>
      <c r="D24" s="34" t="inlineStr">
        <is>
          <t>Observaciones</t>
        </is>
      </c>
    </row>
    <row r="25">
      <c r="A25" s="35" t="inlineStr">
        <is>
          <t>Precio de Venta al Cliente (Base Imponible):</t>
        </is>
      </c>
      <c r="B25" s="36">
        <f>'Presupuesto Cliente'!F27</f>
        <v/>
      </c>
      <c r="C25" s="37" t="n">
        <v>1</v>
      </c>
      <c r="D25" s="10" t="inlineStr">
        <is>
          <t>PVP ofertado a Menorca Dist</t>
        </is>
      </c>
    </row>
    <row r="26">
      <c r="A26" s="35" t="inlineStr">
        <is>
          <t>Coste Directo Total de Ejecución HAM:</t>
        </is>
      </c>
      <c r="B26" s="36">
        <f>F21</f>
        <v/>
      </c>
      <c r="C26" s="37">
        <f>B26/B25</f>
        <v/>
      </c>
      <c r="D26" s="10" t="inlineStr">
        <is>
          <t>Materiales (70%) + MO (20%) + Logística (10%)</t>
        </is>
      </c>
    </row>
    <row r="27">
      <c r="A27" s="38" t="inlineStr">
        <is>
          <t>Margen Bruto de Explotación HAM:</t>
        </is>
      </c>
      <c r="B27" s="39">
        <f>B25-B26</f>
        <v/>
      </c>
      <c r="C27" s="40">
        <f>B27/B25</f>
        <v/>
      </c>
      <c r="D27" s="41" t="inlineStr">
        <is>
          <t>Beneficio neto industrial de la operación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2026-10-26T14:13:45Z</dcterms:created>
  <dcterms:modified xmlns:dcterms="http://purl.org/dc/terms/" xmlns:xsi="http://www.w3.org/2001/XMLSchema-instance" xsi:type="dcterms:W3CDTF">2026-10-26T14:13:45Z</dcterms:modified>
</cp:coreProperties>
</file>