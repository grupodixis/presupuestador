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-2026-0045 Escalera L Iro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7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b val="1"/>
      <color rgb="00B45309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B45309"/>
      <sz val="12"/>
    </font>
  </fonts>
  <fills count="4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4" fontId="4" fillId="0" borderId="1" applyAlignment="1" pivotButton="0" quotePrefix="0" xfId="0">
      <alignment horizontal="right" vertical="top"/>
    </xf>
    <xf numFmtId="164" fontId="4" fillId="0" borderId="1" applyAlignment="1" pivotButton="0" quotePrefix="0" xfId="0">
      <alignment horizontal="right" vertical="top"/>
    </xf>
    <xf numFmtId="0" fontId="3" fillId="0" borderId="0" applyAlignment="1" pivotButton="0" quotePrefix="0" xfId="0">
      <alignment horizontal="right"/>
    </xf>
    <xf numFmtId="164" fontId="3" fillId="0" borderId="0" pivotButton="0" quotePrefix="0" xfId="0"/>
    <xf numFmtId="0" fontId="6" fillId="0" borderId="2" applyAlignment="1" pivotButton="0" quotePrefix="0" xfId="0">
      <alignment horizontal="right"/>
    </xf>
    <xf numFmtId="164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10" customWidth="1" min="3" max="3"/>
    <col width="12" customWidth="1" min="4" max="4"/>
    <col width="22" customWidth="1" min="5" max="5"/>
    <col width="20" customWidth="1" min="6" max="6"/>
  </cols>
  <sheetData>
    <row r="1">
      <c r="A1" s="1" t="inlineStr">
        <is>
          <t>HAM ESTRUCTURAS METÁLICAS</t>
        </is>
      </c>
    </row>
    <row r="2">
      <c r="A2" s="2" t="inlineStr">
        <is>
          <t>PRESUPUESTO TÉCNICO Y ECONÓMICO: P-2026-0045 (REV. 2)</t>
        </is>
      </c>
    </row>
    <row r="4">
      <c r="A4" s="3" t="inlineStr">
        <is>
          <t>Cliente:</t>
        </is>
      </c>
      <c r="B4" s="4" t="inlineStr">
        <is>
          <t>Costel Pindea (Constructora)</t>
        </is>
      </c>
    </row>
    <row r="5">
      <c r="A5" s="3" t="inlineStr">
        <is>
          <t>Ubicación:</t>
        </is>
      </c>
      <c r="B5" s="4" t="inlineStr">
        <is>
          <t>Obra en Menorca - Islas Baleares</t>
        </is>
      </c>
    </row>
    <row r="6">
      <c r="A6" s="3" t="inlineStr">
        <is>
          <t>Fecha:</t>
        </is>
      </c>
      <c r="B6" s="4" t="inlineStr">
        <is>
          <t>28/10/2026</t>
        </is>
      </c>
    </row>
    <row r="7">
      <c r="A7" s="3" t="inlineStr">
        <is>
          <t>Concepto:</t>
        </is>
      </c>
      <c r="B7" s="4" t="inlineStr">
        <is>
          <t>Escalera en L: base tubular arranque (3 escalones), tramo volado pletina mural, forrado Iroko y varillas a viga de madera (fijaciones a definir)</t>
        </is>
      </c>
    </row>
    <row r="9">
      <c r="A9" s="5" t="inlineStr">
        <is>
          <t>PARÁMETROS TÉCNICOS</t>
        </is>
      </c>
      <c r="B9" s="6" t="inlineStr">
        <is>
          <t>Escalera en L | Base tubular para 3 escalones de arranque | Zanca pletina 150x12 mm amurada a pared | Tubos 50x50x5 mm | Varillas Ø10 mm a viga de madera | Forrado 19 peldaños en Iroko macizo | Detalles de tuercas y fijaciones a definir</t>
        </is>
      </c>
    </row>
    <row r="11">
      <c r="A11" s="7" t="inlineStr">
        <is>
          <t>Partida</t>
        </is>
      </c>
      <c r="B11" s="8" t="inlineStr">
        <is>
          <t>Concepto y Descripción Técnica</t>
        </is>
      </c>
      <c r="C11" s="7" t="inlineStr">
        <is>
          <t>Unidad</t>
        </is>
      </c>
      <c r="D11" s="7" t="inlineStr">
        <is>
          <t>Cantidad</t>
        </is>
      </c>
      <c r="E11" s="7" t="inlineStr">
        <is>
          <t>Precio Unitario (€)</t>
        </is>
      </c>
      <c r="F11" s="7" t="inlineStr">
        <is>
          <t>Importe (€)</t>
        </is>
      </c>
    </row>
    <row r="12">
      <c r="A12" s="9" t="inlineStr">
        <is>
          <t>01</t>
        </is>
      </c>
      <c r="B12" s="10" t="inlineStr">
        <is>
          <t>Toma de medidas, replanteo láser in situ y desarrollo de planos de despiece para configuración en L (giro a 90° en arranque, verificación de plomos, cota de viga y definición de detalles de tuercas y fijaciones)</t>
        </is>
      </c>
      <c r="C12" s="9" t="inlineStr">
        <is>
          <t>lote</t>
        </is>
      </c>
      <c r="D12" s="11" t="n">
        <v>1</v>
      </c>
      <c r="E12" s="12" t="n">
        <v>520</v>
      </c>
      <c r="F12" s="12">
        <f>D12*E12</f>
        <v/>
      </c>
    </row>
    <row r="13">
      <c r="A13" s="9" t="inlineStr">
        <is>
          <t>02</t>
        </is>
      </c>
      <c r="B13" s="10" t="inlineStr">
        <is>
          <t>Fabricación de base tubular estructural para arranque en L de 3 escalones (chasis soldado en tubo 80x40x3 y 50x50x3 mm S275JR, pletinas de anclaje a solera y encuentro con zanca mural; fijaciones a definir)</t>
        </is>
      </c>
      <c r="C13" s="9" t="inlineStr">
        <is>
          <t>lote</t>
        </is>
      </c>
      <c r="D13" s="11" t="n">
        <v>1</v>
      </c>
      <c r="E13" s="12" t="n">
        <v>1150</v>
      </c>
      <c r="F13" s="12">
        <f>D13*E13</f>
        <v/>
      </c>
    </row>
    <row r="14">
      <c r="A14" s="9" t="inlineStr">
        <is>
          <t>03</t>
        </is>
      </c>
      <c r="B14" s="10" t="inlineStr">
        <is>
          <t>Fabricación en taller de zanca pletina mural (150x12 mm S275JR) y 16 ménsulas en tubo cuadrado estructural de 50x50x5 mm soldadas, con tuercas remache insertadas (tipo y métrica a definir)</t>
        </is>
      </c>
      <c r="C14" s="9" t="inlineStr">
        <is>
          <t>lote</t>
        </is>
      </c>
      <c r="D14" s="11" t="n">
        <v>1</v>
      </c>
      <c r="E14" s="12" t="n">
        <v>3850</v>
      </c>
      <c r="F14" s="12">
        <f>D14*E14</f>
        <v/>
      </c>
    </row>
    <row r="15">
      <c r="A15" s="9" t="inlineStr">
        <is>
          <t>04</t>
        </is>
      </c>
      <c r="B15" s="10" t="inlineStr">
        <is>
          <t>Barandilla vertical suspendida de varillas calibradas/roscadas Ø10 mm (32 uds para hueco &lt; 10 cm) y perfil angular superior L 60x40x5 mm fijado a viga de madera (detalles de tuercas y fijaciones a definir)</t>
        </is>
      </c>
      <c r="C15" s="9" t="inlineStr">
        <is>
          <t>lote</t>
        </is>
      </c>
      <c r="D15" s="11" t="n">
        <v>1</v>
      </c>
      <c r="E15" s="12" t="n">
        <v>1950</v>
      </c>
      <c r="F15" s="12">
        <f>D15*E15</f>
        <v/>
      </c>
    </row>
    <row r="16">
      <c r="A16" s="9" t="inlineStr">
        <is>
          <t>05</t>
        </is>
      </c>
      <c r="B16" s="10" t="inlineStr">
        <is>
          <t>Tratamiento anticorrosivo y lacado de toda la cerrajería en taller: limpieza, imprimación epoxi fosfatante antioxidante y esmalte poliuretano secado al horno (RAL 7016 / 9005 texturado)</t>
        </is>
      </c>
      <c r="C16" s="9" t="inlineStr">
        <is>
          <t>lote</t>
        </is>
      </c>
      <c r="D16" s="11" t="n">
        <v>1</v>
      </c>
      <c r="E16" s="12" t="n">
        <v>980</v>
      </c>
      <c r="F16" s="12">
        <f>D16*E16</f>
        <v/>
      </c>
    </row>
    <row r="17">
      <c r="A17" s="9" t="inlineStr">
        <is>
          <t>06</t>
        </is>
      </c>
      <c r="B17" s="10" t="inlineStr">
        <is>
          <t>Forrado integral de 19 peldaños en Madera Maciza de Iroko de 1ª calidad seleccionada (3 en base arranque + 16 en tramo volado; huella 38 mm, frentes 20 mm y 3 capas barniz poliuretano tránsito)</t>
        </is>
      </c>
      <c r="C17" s="9" t="inlineStr">
        <is>
          <t>lote</t>
        </is>
      </c>
      <c r="D17" s="11" t="n">
        <v>1</v>
      </c>
      <c r="E17" s="12" t="n">
        <v>4980</v>
      </c>
      <c r="F17" s="12">
        <f>D17*E17</f>
        <v/>
      </c>
    </row>
    <row r="18">
      <c r="A18" s="9" t="inlineStr">
        <is>
          <t>07</t>
        </is>
      </c>
      <c r="B18" s="10" t="inlineStr">
        <is>
          <t>Transporte a obra en Menorca, fijaciones a solera, muro y viga de madera, montaje de varillas, pegado elastomérico de peldaños de Iroko y remates (sistemas de fijación y tuercas a definir)</t>
        </is>
      </c>
      <c r="C18" s="9" t="inlineStr">
        <is>
          <t>lote</t>
        </is>
      </c>
      <c r="D18" s="11" t="n">
        <v>1</v>
      </c>
      <c r="E18" s="12" t="n">
        <v>2780</v>
      </c>
      <c r="F18" s="12">
        <f>D18*E18</f>
        <v/>
      </c>
    </row>
    <row r="20">
      <c r="E20" s="13" t="inlineStr">
        <is>
          <t>Base Imponible:</t>
        </is>
      </c>
      <c r="F20" s="14">
        <f>SUM(F12:F18)</f>
        <v/>
      </c>
    </row>
    <row r="21">
      <c r="E21" s="13" t="inlineStr">
        <is>
          <t>I.V.A. (21%):</t>
        </is>
      </c>
      <c r="F21" s="14">
        <f>F20*0.21</f>
        <v/>
      </c>
    </row>
    <row r="22">
      <c r="E22" s="15" t="inlineStr">
        <is>
          <t>TOTAL PRESUPUESTO:</t>
        </is>
      </c>
      <c r="F22" s="16">
        <f>F20+F21</f>
        <v/>
      </c>
    </row>
    <row r="24">
      <c r="A24" s="3" t="inlineStr">
        <is>
          <t>CONDICIONES COMERCIALES Y GARANTÍAS</t>
        </is>
      </c>
    </row>
    <row r="25">
      <c r="A25" s="3" t="inlineStr">
        <is>
          <t>• Forma de pago:</t>
        </is>
      </c>
      <c r="B25" s="3" t="inlineStr">
        <is>
          <t>100% a la aceptación del presupuesto</t>
        </is>
      </c>
    </row>
    <row r="26">
      <c r="A26" s="3" t="inlineStr">
        <is>
          <t>• Fijaciones / tuercas:</t>
        </is>
      </c>
      <c r="B26" s="4" t="inlineStr">
        <is>
          <t>Detalles constructivos de tuercas y sistemas de fijación a muro, solera y viga a definir en replanteo</t>
        </is>
      </c>
    </row>
    <row r="27">
      <c r="A27" s="3" t="inlineStr">
        <is>
          <t>• Garantía:</t>
        </is>
      </c>
      <c r="B27" s="4" t="inlineStr">
        <is>
          <t>2 años en estructura de acero, cerrajería, fijaciones y acabados según normativa vigente</t>
        </is>
      </c>
    </row>
    <row r="28">
      <c r="A28" s="3" t="inlineStr">
        <is>
          <t>• Plazo de entrega:</t>
        </is>
      </c>
      <c r="B28" s="4" t="inlineStr">
        <is>
          <t>4 a 5 semanas para taller de cerrajería y ebanistería; montaje en obra de 4 jornadas laborables</t>
        </is>
      </c>
    </row>
    <row r="29">
      <c r="A29" s="3" t="inlineStr">
        <is>
          <t>• Validez:</t>
        </is>
      </c>
      <c r="B29" s="4" t="inlineStr">
        <is>
          <t>30 días naturales desde la fecha de emisión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2026-10-28T14:10:32Z</dcterms:created>
  <dcterms:modified xmlns:dcterms="http://purl.org/dc/terms/" xmlns:xsi="http://www.w3.org/2001/XMLSchema-instance" xsi:type="dcterms:W3CDTF">2026-10-28T14:10:32Z</dcterms:modified>
</cp:coreProperties>
</file>