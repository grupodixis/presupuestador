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-2026-0045 Escalera Iro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7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b val="1"/>
      <color rgb="00B45309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1"/>
    </font>
    <font>
      <name val="Segoe UI"/>
      <b val="1"/>
      <color rgb="00B45309"/>
      <sz val="12"/>
    </font>
  </fonts>
  <fills count="4">
    <fill>
      <patternFill/>
    </fill>
    <fill>
      <patternFill patternType="gray125"/>
    </fill>
    <fill>
      <patternFill patternType="solid">
        <fgColor rgb="00FEF3C7"/>
        <bgColor rgb="00FEF3C7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6" fillId="0" borderId="2" applyAlignment="1" pivotButton="0" quotePrefix="0" xfId="0">
      <alignment horizontal="right"/>
    </xf>
    <xf numFmtId="164" fontId="6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72" customWidth="1" min="2" max="2"/>
    <col width="10" customWidth="1" min="3" max="3"/>
    <col width="12" customWidth="1" min="4" max="4"/>
    <col width="22" customWidth="1" min="5" max="5"/>
    <col width="20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P-2026-0045</t>
        </is>
      </c>
    </row>
    <row r="4">
      <c r="A4" s="3" t="inlineStr">
        <is>
          <t>Cliente:</t>
        </is>
      </c>
      <c r="B4" s="4" t="inlineStr">
        <is>
          <t>Costel Pindea (Constructora)</t>
        </is>
      </c>
    </row>
    <row r="5">
      <c r="A5" s="3" t="inlineStr">
        <is>
          <t>Ubicación:</t>
        </is>
      </c>
      <c r="B5" s="4" t="inlineStr">
        <is>
          <t>Obra en Menorca - Islas Baleares</t>
        </is>
      </c>
    </row>
    <row r="6">
      <c r="A6" s="3" t="inlineStr">
        <is>
          <t>Fecha:</t>
        </is>
      </c>
      <c r="B6" s="4" t="inlineStr">
        <is>
          <t>28/10/2026</t>
        </is>
      </c>
    </row>
    <row r="7">
      <c r="A7" s="3" t="inlineStr">
        <is>
          <t>Concepto:</t>
        </is>
      </c>
      <c r="B7" s="4" t="inlineStr">
        <is>
          <t>Escalera metálica volada sobre pletina de pared, peldaños de tubo 50x50x5 forrados en Iroko y barandilla de varillas a viga de madera</t>
        </is>
      </c>
    </row>
    <row r="9">
      <c r="A9" s="5" t="inlineStr">
        <is>
          <t>PARÁMETROS TÉCNICOS</t>
        </is>
      </c>
      <c r="B9" s="6" t="inlineStr">
        <is>
          <t>Zanca pletina 150x12 mm amurada a pared | Ménsulas tubo 50x50x5 mm con tuercas remache M10 | Varillas Ø10 mm a angular en viga de techo | Forrado en madera maciza de Iroko (huella 38 mm)</t>
        </is>
      </c>
    </row>
    <row r="11">
      <c r="A11" s="7" t="inlineStr">
        <is>
          <t>Partida</t>
        </is>
      </c>
      <c r="B11" s="8" t="inlineStr">
        <is>
          <t>Concepto y Descripción Técnica</t>
        </is>
      </c>
      <c r="C11" s="7" t="inlineStr">
        <is>
          <t>Unidad</t>
        </is>
      </c>
      <c r="D11" s="7" t="inlineStr">
        <is>
          <t>Cantidad</t>
        </is>
      </c>
      <c r="E11" s="7" t="inlineStr">
        <is>
          <t>Precio Unitario (€)</t>
        </is>
      </c>
      <c r="F11" s="7" t="inlineStr">
        <is>
          <t>Importe (€)</t>
        </is>
      </c>
    </row>
    <row r="12">
      <c r="A12" s="9" t="inlineStr">
        <is>
          <t>01</t>
        </is>
      </c>
      <c r="B12" s="10" t="inlineStr">
        <is>
          <t>Toma de medidas, replanteo láser in situ y desarrollo de planos de despiece milimétricos (verificación de aplomados, cota de viga y cumplimiento CTE DB-SUA)</t>
        </is>
      </c>
      <c r="C12" s="9" t="inlineStr">
        <is>
          <t>lote</t>
        </is>
      </c>
      <c r="D12" s="11" t="n">
        <v>1</v>
      </c>
      <c r="E12" s="12" t="n">
        <v>450</v>
      </c>
      <c r="F12" s="12">
        <f>D12*E12</f>
        <v/>
      </c>
    </row>
    <row r="13">
      <c r="A13" s="9" t="inlineStr">
        <is>
          <t>02</t>
        </is>
      </c>
      <c r="B13" s="10" t="inlineStr">
        <is>
          <t>Fabricación en taller de zanca pletina mural (150x12 mm S275JR) y 16 ménsulas en tubo cuadrado estructural de 50x50x5 mm soldadas, con tuercas remache M10 insertadas</t>
        </is>
      </c>
      <c r="C13" s="9" t="inlineStr">
        <is>
          <t>lote</t>
        </is>
      </c>
      <c r="D13" s="11" t="n">
        <v>1</v>
      </c>
      <c r="E13" s="12" t="n">
        <v>3850</v>
      </c>
      <c r="F13" s="12">
        <f>D13*E13</f>
        <v/>
      </c>
    </row>
    <row r="14">
      <c r="A14" s="9" t="inlineStr">
        <is>
          <t>03</t>
        </is>
      </c>
      <c r="B14" s="10" t="inlineStr">
        <is>
          <t>Barandilla vertical suspendida de varillas calibradas/roscadas Ø10 mm (32 uds para hueco &lt; 10 cm) y perfil angular superior L 60x40x5 mm fijado a viga de madera con tuercas ciegas</t>
        </is>
      </c>
      <c r="C14" s="9" t="inlineStr">
        <is>
          <t>lote</t>
        </is>
      </c>
      <c r="D14" s="11" t="n">
        <v>1</v>
      </c>
      <c r="E14" s="12" t="n">
        <v>1950</v>
      </c>
      <c r="F14" s="12">
        <f>D14*E14</f>
        <v/>
      </c>
    </row>
    <row r="15">
      <c r="A15" s="9" t="inlineStr">
        <is>
          <t>04</t>
        </is>
      </c>
      <c r="B15" s="10" t="inlineStr">
        <is>
          <t>Tratamiento anticorrosivo y lacado de cerrajería en taller: limpieza, imprimación epoxi fosfatante antioxidante y esmalte poliuretano horno (RAL 7016 / 9005 texturado)</t>
        </is>
      </c>
      <c r="C15" s="9" t="inlineStr">
        <is>
          <t>lote</t>
        </is>
      </c>
      <c r="D15" s="11" t="n">
        <v>1</v>
      </c>
      <c r="E15" s="12" t="n">
        <v>880</v>
      </c>
      <c r="F15" s="12">
        <f>D15*E15</f>
        <v/>
      </c>
    </row>
    <row r="16">
      <c r="A16" s="9" t="inlineStr">
        <is>
          <t>05</t>
        </is>
      </c>
      <c r="B16" s="10" t="inlineStr">
        <is>
          <t>Forrado integral de 16 peldaños en Madera Maciza de Iroko de 1ª calidad seleccionada (huella 38 mm, frentes 20 mm, cajeado para ocultar tubos y 3 capas de barniz poliuretano alto tránsito)</t>
        </is>
      </c>
      <c r="C16" s="9" t="inlineStr">
        <is>
          <t>lote</t>
        </is>
      </c>
      <c r="D16" s="11" t="n">
        <v>1</v>
      </c>
      <c r="E16" s="12" t="n">
        <v>4250</v>
      </c>
      <c r="F16" s="12">
        <f>D16*E16</f>
        <v/>
      </c>
    </row>
    <row r="17">
      <c r="A17" s="9" t="inlineStr">
        <is>
          <t>06</t>
        </is>
      </c>
      <c r="B17" s="10" t="inlineStr">
        <is>
          <t>Transporte a obra en Menorca, fijación química estructural a muro maestro con resina viniléster y varillas M14, anclaje superior en viga, tensado de varillas, pegado de peldaños y remates</t>
        </is>
      </c>
      <c r="C17" s="9" t="inlineStr">
        <is>
          <t>lote</t>
        </is>
      </c>
      <c r="D17" s="11" t="n">
        <v>1</v>
      </c>
      <c r="E17" s="12" t="n">
        <v>2480</v>
      </c>
      <c r="F17" s="12">
        <f>D17*E17</f>
        <v/>
      </c>
    </row>
    <row r="19">
      <c r="E19" s="13" t="inlineStr">
        <is>
          <t>Base Imponible:</t>
        </is>
      </c>
      <c r="F19" s="14">
        <f>SUM(F12:F17)</f>
        <v/>
      </c>
    </row>
    <row r="20">
      <c r="E20" s="13" t="inlineStr">
        <is>
          <t>I.V.A. (21%):</t>
        </is>
      </c>
      <c r="F20" s="14">
        <f>F19*0.21</f>
        <v/>
      </c>
    </row>
    <row r="21">
      <c r="E21" s="15" t="inlineStr">
        <is>
          <t>TOTAL PRESUPUESTO:</t>
        </is>
      </c>
      <c r="F21" s="16">
        <f>F19+F20</f>
        <v/>
      </c>
    </row>
    <row r="23">
      <c r="A23" s="3" t="inlineStr">
        <is>
          <t>CONDICIONES COMERCIALES Y GARANTÍAS</t>
        </is>
      </c>
    </row>
    <row r="24">
      <c r="A24" s="3" t="inlineStr">
        <is>
          <t>• Forma de pago:</t>
        </is>
      </c>
      <c r="B24" s="4" t="inlineStr">
        <is>
          <t>40% a la formalización del pedido y replanteo, 30% a la finalización de estructura y madera en taller, y 30% a la finalización y entrega en obra</t>
        </is>
      </c>
    </row>
    <row r="25">
      <c r="A25" s="3" t="inlineStr">
        <is>
          <t>• Garantía:</t>
        </is>
      </c>
      <c r="B25" s="4" t="inlineStr">
        <is>
          <t>2 años en estructura de acero, cerrajería, fijaciones y acabados según normativa vigente</t>
        </is>
      </c>
    </row>
    <row r="26">
      <c r="A26" s="3" t="inlineStr">
        <is>
          <t>• Plazo de entrega:</t>
        </is>
      </c>
      <c r="B26" s="4" t="inlineStr">
        <is>
          <t>4 a 5 semanas para taller de cerrajería y ebanistería; montaje en obra de 3 a 4 jornadas laborables</t>
        </is>
      </c>
    </row>
    <row r="27">
      <c r="A27" s="3" t="inlineStr">
        <is>
          <t>• Validez:</t>
        </is>
      </c>
      <c r="B27" s="4" t="inlineStr">
        <is>
          <t>30 días naturales desde la fecha de emisión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2026-10-28T10:13:38Z</dcterms:created>
  <dcterms:modified xmlns:dcterms="http://purl.org/dc/terms/" xmlns:xsi="http://www.w3.org/2001/XMLSchema-instance" xsi:type="dcterms:W3CDTF">2026-10-28T10:13:38Z</dcterms:modified>
</cp:coreProperties>
</file>