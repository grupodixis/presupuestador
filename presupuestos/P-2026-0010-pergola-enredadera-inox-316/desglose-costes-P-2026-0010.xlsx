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glose de Costes" sheetId="1" state="visible" r:id="rId1"/>
    <sheet xmlns:r="http://schemas.openxmlformats.org/officeDocument/2006/relationships" name="Resumen Comer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color rgb="00555555"/>
      <sz val="8"/>
    </font>
    <font>
      <name val="Arial"/>
      <b val="1"/>
      <color rgb="001B2A47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A47"/>
        <bgColor rgb="001B2A47"/>
      </patternFill>
    </fill>
    <fill>
      <patternFill patternType="solid">
        <fgColor rgb="00F0F4F8"/>
        <bgColor rgb="00F0F4F8"/>
      </patternFill>
    </fill>
    <fill>
      <patternFill patternType="solid">
        <fgColor rgb="00FAF3E0"/>
        <bgColor rgb="00FAF3E0"/>
      </patternFill>
    </fill>
    <fill>
      <patternFill patternType="solid">
        <fgColor rgb="00E6EEF8"/>
        <bgColor rgb="00E6EEF8"/>
      </patternFill>
    </fill>
    <fill>
      <patternFill patternType="solid">
        <fgColor rgb="00E1EFEA"/>
        <bgColor rgb="00E1EFEA"/>
      </patternFill>
    </fill>
  </fills>
  <borders count="7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  <border>
      <top style="thin">
        <color rgb="001B2A47"/>
      </top>
      <bottom style="double">
        <color rgb="001B2A47"/>
      </bottom>
    </border>
    <border>
      <left style="thin"/>
      <top style="thin"/>
    </border>
    <border>
      <right style="thin"/>
      <top style="thin"/>
    </border>
    <border>
      <lef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2" fillId="0" borderId="1" pivotButton="0" quotePrefix="0" xfId="0"/>
    <xf numFmtId="0" fontId="3" fillId="0" borderId="1" pivotButton="0" quotePrefix="0" xfId="0"/>
    <xf numFmtId="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3" fillId="3" borderId="5" pivotButton="0" quotePrefix="0" xfId="0"/>
    <xf numFmtId="164" fontId="3" fillId="3" borderId="6" applyAlignment="1" pivotButton="0" quotePrefix="0" xfId="0">
      <alignment horizontal="right" vertical="center"/>
    </xf>
    <xf numFmtId="0" fontId="0" fillId="3" borderId="2" pivotButton="0" quotePrefix="0" xfId="0"/>
    <xf numFmtId="0" fontId="3" fillId="3" borderId="2" pivotButton="0" quotePrefix="0" xfId="0"/>
    <xf numFmtId="164" fontId="3" fillId="3" borderId="2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4" borderId="1" pivotButton="0" quotePrefix="0" xfId="0"/>
    <xf numFmtId="0" fontId="3" fillId="4" borderId="1" pivotButton="0" quotePrefix="0" xfId="0"/>
    <xf numFmtId="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4" fillId="4" borderId="1" pivotButton="0" quotePrefix="0" xfId="0"/>
    <xf numFmtId="0" fontId="0" fillId="4" borderId="2" pivotButton="0" quotePrefix="0" xfId="0"/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0" fontId="5" fillId="5" borderId="2" pivotButton="0" quotePrefix="0" xfId="0"/>
    <xf numFmtId="0" fontId="0" fillId="0" borderId="2" pivotButton="0" quotePrefix="0" xfId="0"/>
    <xf numFmtId="164" fontId="3" fillId="6" borderId="2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2" pivotButton="0" quotePrefix="0" xfId="0"/>
    <xf numFmtId="0" fontId="4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L2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0" customWidth="1" min="3" max="3"/>
    <col width="12" customWidth="1" min="4" max="4"/>
    <col width="10" customWidth="1" min="5" max="5"/>
    <col width="12" customWidth="1" min="6" max="6"/>
    <col width="16" customWidth="1" min="7" max="7"/>
    <col width="50" customWidth="1" min="8" max="8"/>
    <col width="16" customWidth="1" min="9" max="9"/>
    <col width="22" customWidth="1" min="11" max="11"/>
    <col width="18" customWidth="1" min="12" max="12"/>
  </cols>
  <sheetData>
    <row r="4" ht="25" customHeight="1">
      <c r="A4" s="1" t="inlineStr">
        <is>
          <t>Sección</t>
        </is>
      </c>
      <c r="B4" s="1" t="inlineStr">
        <is>
          <t>Concepto</t>
        </is>
      </c>
      <c r="C4" s="1" t="inlineStr">
        <is>
          <t>Especificación Técnica</t>
        </is>
      </c>
      <c r="D4" s="2" t="inlineStr">
        <is>
          <t>Cantidad</t>
        </is>
      </c>
      <c r="E4" s="2" t="inlineStr">
        <is>
          <t>Unidad</t>
        </is>
      </c>
      <c r="F4" s="3" t="inlineStr">
        <is>
          <t>Precio Unit.</t>
        </is>
      </c>
      <c r="G4" s="3" t="inlineStr">
        <is>
          <t>Importe (€)</t>
        </is>
      </c>
      <c r="H4" s="1" t="inlineStr">
        <is>
          <t>Notas de Taller / Exclusiones</t>
        </is>
      </c>
    </row>
    <row r="5" ht="20" customHeight="1">
      <c r="A5" s="4" t="inlineStr">
        <is>
          <t>Acero Inoxidable</t>
        </is>
      </c>
      <c r="B5" s="5" t="inlineStr">
        <is>
          <t>Pilares Trellis</t>
        </is>
      </c>
      <c r="C5" s="4" t="inlineStr">
        <is>
          <t>Tubo Ø114.3x3 mm Inox AISI 316</t>
        </is>
      </c>
      <c r="D5" s="6" t="n">
        <v>36</v>
      </c>
      <c r="E5" s="7" t="inlineStr">
        <is>
          <t>ml</t>
        </is>
      </c>
      <c r="F5" s="8" t="n">
        <v>85</v>
      </c>
      <c r="G5" s="9">
        <f>D5*F5</f>
        <v/>
      </c>
      <c r="H5" s="10" t="inlineStr">
        <is>
          <t>6 fustes de 3.4 m de altura (compra optimizada de 6 barras de 6m = 36ml)</t>
        </is>
      </c>
      <c r="K5" s="11" t="inlineStr">
        <is>
          <t>Precio reducido al maximo</t>
        </is>
      </c>
      <c r="L5" s="12" t="n"/>
    </row>
    <row r="6" ht="20" customHeight="1">
      <c r="A6" s="4" t="inlineStr">
        <is>
          <t>Acero Inoxidable</t>
        </is>
      </c>
      <c r="B6" s="5" t="inlineStr">
        <is>
          <t>Marcos Perfiles T</t>
        </is>
      </c>
      <c r="C6" s="4" t="inlineStr">
        <is>
          <t>Perfil T100.10 Inox AISI 316</t>
        </is>
      </c>
      <c r="D6" s="6" t="n">
        <v>270</v>
      </c>
      <c r="E6" s="7" t="inlineStr">
        <is>
          <t>kg</t>
        </is>
      </c>
      <c r="F6" s="8" t="n">
        <v>15</v>
      </c>
      <c r="G6" s="9">
        <f>D6*F6</f>
        <v/>
      </c>
      <c r="H6" s="10" t="inlineStr">
        <is>
          <t>Marcos pórticos: 13 ml netos (compra de 3 barras de 6m = 18ml = 270kg)</t>
        </is>
      </c>
      <c r="K6" s="13" t="inlineStr">
        <is>
          <t>Estructura</t>
        </is>
      </c>
      <c r="L6" s="14">
        <f>I14</f>
        <v/>
      </c>
    </row>
    <row r="7" ht="20" customHeight="1">
      <c r="A7" s="4" t="inlineStr">
        <is>
          <t>Acero Inoxidable</t>
        </is>
      </c>
      <c r="B7" s="5" t="inlineStr">
        <is>
          <t>Vigas Hipotenusa RHS</t>
        </is>
      </c>
      <c r="C7" s="4" t="inlineStr">
        <is>
          <t>Perfil 100x50x3 Inox AISI 316</t>
        </is>
      </c>
      <c r="D7" s="6" t="n">
        <v>81.59999999999999</v>
      </c>
      <c r="E7" s="7" t="inlineStr">
        <is>
          <t>kg</t>
        </is>
      </c>
      <c r="F7" s="8" t="n">
        <v>15</v>
      </c>
      <c r="G7" s="9">
        <f>D7*F7</f>
        <v/>
      </c>
      <c r="H7" s="10" t="inlineStr">
        <is>
          <t>Vigas inclinadas: 9.2 ml netos (compra de 2 barras de 6m = 12ml = 81.6kg)</t>
        </is>
      </c>
      <c r="K7" s="13" t="inlineStr">
        <is>
          <t>MO</t>
        </is>
      </c>
      <c r="L7" s="14">
        <f>I20</f>
        <v/>
      </c>
    </row>
    <row r="8" ht="20" customHeight="1">
      <c r="A8" s="4" t="inlineStr">
        <is>
          <t>Acero Inoxidable</t>
        </is>
      </c>
      <c r="B8" s="5" t="inlineStr">
        <is>
          <t>Placas y cartelas base</t>
        </is>
      </c>
      <c r="C8" s="4" t="inlineStr">
        <is>
          <t>Acero Inox AISI 316 10mm</t>
        </is>
      </c>
      <c r="D8" s="6" t="n">
        <v>45</v>
      </c>
      <c r="E8" s="7" t="inlineStr">
        <is>
          <t>kg</t>
        </is>
      </c>
      <c r="F8" s="8" t="n">
        <v>12</v>
      </c>
      <c r="G8" s="9">
        <f>D8*F8</f>
        <v/>
      </c>
      <c r="H8" s="10" t="inlineStr">
        <is>
          <t>6 bases de pilares y cartelas rigidizadoras de placa de 10mm</t>
        </is>
      </c>
      <c r="K8" s="13" t="inlineStr">
        <is>
          <t>Cimentaciones</t>
        </is>
      </c>
      <c r="L8" s="14">
        <f>I26</f>
        <v/>
      </c>
    </row>
    <row r="9" ht="20" customHeight="1">
      <c r="A9" s="4" t="inlineStr">
        <is>
          <t>Acero Inoxidable</t>
        </is>
      </c>
      <c r="B9" s="5" t="inlineStr">
        <is>
          <t>Portes marítimos Inox</t>
        </is>
      </c>
      <c r="C9" s="4" t="inlineStr">
        <is>
          <t>Flete península a Menorca para Inox</t>
        </is>
      </c>
      <c r="D9" s="6" t="n">
        <v>691.8</v>
      </c>
      <c r="E9" s="7" t="inlineStr">
        <is>
          <t>kg</t>
        </is>
      </c>
      <c r="F9" s="8" t="n">
        <v>0.2</v>
      </c>
      <c r="G9" s="9">
        <f>D9*F9</f>
        <v/>
      </c>
      <c r="H9" s="10" t="inlineStr">
        <is>
          <t>Cálculo en función del peso total de inoxidable (295.2+270+81.6+45 kg)</t>
        </is>
      </c>
      <c r="K9" s="15" t="inlineStr">
        <is>
          <t>Total</t>
        </is>
      </c>
      <c r="L9" s="16">
        <f>SUM(L6:L8)</f>
        <v/>
      </c>
    </row>
    <row r="10" ht="20" customHeight="1">
      <c r="A10" s="4" t="inlineStr">
        <is>
          <t>Acero Inoxidable</t>
        </is>
      </c>
      <c r="B10" s="5" t="inlineStr">
        <is>
          <t>Cable Inox Ø6 mm</t>
        </is>
      </c>
      <c r="C10" s="4" t="inlineStr">
        <is>
          <t>Cables trellis</t>
        </is>
      </c>
      <c r="D10" s="6" t="n">
        <v>350</v>
      </c>
      <c r="E10" s="7" t="inlineStr">
        <is>
          <t>ml</t>
        </is>
      </c>
      <c r="F10" s="8" t="n">
        <v>3.5</v>
      </c>
      <c r="G10" s="9">
        <f>D10*F10</f>
        <v/>
      </c>
      <c r="H10" s="10" t="inlineStr">
        <is>
          <t>Tendido de cables entre pórticos, abanico y cruces de arriostramiento</t>
        </is>
      </c>
    </row>
    <row r="11" ht="20" customHeight="1">
      <c r="A11" s="4" t="inlineStr">
        <is>
          <t>Acero Inoxidable</t>
        </is>
      </c>
      <c r="B11" s="5" t="inlineStr">
        <is>
          <t>Herrajes tensores M8</t>
        </is>
      </c>
      <c r="C11" s="4" t="inlineStr">
        <is>
          <t>Juegos tensor + terminal oliva A4</t>
        </is>
      </c>
      <c r="D11" s="6" t="n">
        <v>30</v>
      </c>
      <c r="E11" s="7" t="inlineStr">
        <is>
          <t>sets</t>
        </is>
      </c>
      <c r="F11" s="8" t="n">
        <v>55</v>
      </c>
      <c r="G11" s="9">
        <f>D11*F11</f>
        <v/>
      </c>
      <c r="H11" s="10" t="inlineStr">
        <is>
          <t>Tensores regulables y terminales inoxidables AISI 316</t>
        </is>
      </c>
    </row>
    <row r="12" ht="20" customHeight="1">
      <c r="A12" s="4" t="inlineStr">
        <is>
          <t>Acero Inoxidable</t>
        </is>
      </c>
      <c r="B12" s="5" t="inlineStr">
        <is>
          <t>Pernos y anclajes Inox</t>
        </is>
      </c>
      <c r="C12" s="4" t="inlineStr">
        <is>
          <t>Espárragos M16 A4-80 + resina</t>
        </is>
      </c>
      <c r="D12" s="6" t="n">
        <v>24</v>
      </c>
      <c r="E12" s="7" t="inlineStr">
        <is>
          <t>uds</t>
        </is>
      </c>
      <c r="F12" s="8" t="n">
        <v>10</v>
      </c>
      <c r="G12" s="9">
        <f>D12*F12</f>
        <v/>
      </c>
      <c r="H12" s="10" t="inlineStr">
        <is>
          <t>Anclajes químicos de placas base a cimiento (4 por pilar)</t>
        </is>
      </c>
    </row>
    <row r="13" ht="20" customHeight="1">
      <c r="A13" s="4" t="inlineStr">
        <is>
          <t>Acero Inoxidable</t>
        </is>
      </c>
      <c r="B13" s="5" t="inlineStr">
        <is>
          <t>Consumibles taller Inox</t>
        </is>
      </c>
      <c r="C13" s="4" t="inlineStr">
        <is>
          <t>Argón, hilo de soldar TIG Inox, discos</t>
        </is>
      </c>
      <c r="D13" s="6" t="n">
        <v>1</v>
      </c>
      <c r="E13" s="7" t="inlineStr">
        <is>
          <t>global</t>
        </is>
      </c>
      <c r="F13" s="8" t="n">
        <v>327.18</v>
      </c>
      <c r="G13" s="9">
        <f>D13*F13</f>
        <v/>
      </c>
      <c r="H13" s="10" t="inlineStr">
        <is>
          <t>Material auxiliar para soldar e inspección taller</t>
        </is>
      </c>
    </row>
    <row r="14" ht="22" customHeight="1">
      <c r="A14" s="17" t="n"/>
      <c r="B14" s="18" t="inlineStr">
        <is>
          <t>Subtotal Acero Inoxidable</t>
        </is>
      </c>
      <c r="C14" s="17" t="n"/>
      <c r="D14" s="17" t="n"/>
      <c r="E14" s="17" t="n"/>
      <c r="F14" s="17" t="n"/>
      <c r="G14" s="19">
        <f>SUM(G5:G13)</f>
        <v/>
      </c>
      <c r="H14" s="17" t="n"/>
      <c r="I14" s="20">
        <f>G14*1.1</f>
        <v/>
      </c>
    </row>
    <row r="16" ht="20" customHeight="1">
      <c r="A16" s="4" t="inlineStr">
        <is>
          <t>Mano de Obra</t>
        </is>
      </c>
      <c r="B16" s="5" t="inlineStr">
        <is>
          <t>Oficina Técnica</t>
        </is>
      </c>
      <c r="C16" s="4" t="inlineStr">
        <is>
          <t>Ingeniería, despiece y planos</t>
        </is>
      </c>
      <c r="D16" s="6" t="n">
        <v>16</v>
      </c>
      <c r="E16" s="7" t="inlineStr">
        <is>
          <t>h</t>
        </is>
      </c>
      <c r="F16" s="8" t="n">
        <v>55</v>
      </c>
      <c r="G16" s="9">
        <f>D16*F16</f>
        <v/>
      </c>
      <c r="H16" s="10" t="inlineStr">
        <is>
          <t>Planos de taller y diseño de pórticos triangulares</t>
        </is>
      </c>
    </row>
    <row r="17" ht="20" customHeight="1">
      <c r="A17" s="4" t="inlineStr">
        <is>
          <t>Mano de Obra</t>
        </is>
      </c>
      <c r="B17" s="5" t="inlineStr">
        <is>
          <t>Taller - Corte y Prep</t>
        </is>
      </c>
      <c r="C17" s="4" t="inlineStr">
        <is>
          <t>Cortes de perfiles y taladros de fustes</t>
        </is>
      </c>
      <c r="D17" s="6" t="n">
        <v>12</v>
      </c>
      <c r="E17" s="7" t="inlineStr">
        <is>
          <t>h</t>
        </is>
      </c>
      <c r="F17" s="8" t="n">
        <v>31.5</v>
      </c>
      <c r="G17" s="9">
        <f>D17*F17</f>
        <v/>
      </c>
      <c r="H17" s="10" t="inlineStr">
        <is>
          <t>Cortes mecánicos y preparación de vigas/fustes</t>
        </is>
      </c>
    </row>
    <row r="18" ht="20" customHeight="1">
      <c r="A18" s="4" t="inlineStr">
        <is>
          <t>Mano de Obra</t>
        </is>
      </c>
      <c r="B18" s="5" t="inlineStr">
        <is>
          <t>Taller - Soldadura/Pol</t>
        </is>
      </c>
      <c r="C18" s="4" t="inlineStr">
        <is>
          <t>Soldadura TIG y satinado mecánico</t>
        </is>
      </c>
      <c r="D18" s="6" t="n">
        <v>24</v>
      </c>
      <c r="E18" s="7" t="inlineStr">
        <is>
          <t>h</t>
        </is>
      </c>
      <c r="F18" s="8" t="n">
        <v>34</v>
      </c>
      <c r="G18" s="9">
        <f>D18*F18</f>
        <v/>
      </c>
      <c r="H18" s="10" t="inlineStr">
        <is>
          <t>Unión e inspección visual de soldaduras y pulido</t>
        </is>
      </c>
    </row>
    <row r="19" ht="20" customHeight="1">
      <c r="A19" s="4" t="inlineStr">
        <is>
          <t>Mano de Obra</t>
        </is>
      </c>
      <c r="B19" s="5" t="inlineStr">
        <is>
          <t>Montaje en obra</t>
        </is>
      </c>
      <c r="C19" s="4" t="inlineStr">
        <is>
          <t>Instalación de fustes y cables (Sin Obra)</t>
        </is>
      </c>
      <c r="D19" s="6" t="n">
        <v>40</v>
      </c>
      <c r="E19" s="7" t="inlineStr">
        <is>
          <t>h</t>
        </is>
      </c>
      <c r="F19" s="8" t="n">
        <v>44.38</v>
      </c>
      <c r="G19" s="9">
        <f>D19*F19</f>
        <v/>
      </c>
      <c r="H19" s="10" t="inlineStr">
        <is>
          <t>Desplazamiento a Son Parc, montaje y tensado cables</t>
        </is>
      </c>
    </row>
    <row r="20" ht="20" customHeight="1">
      <c r="A20" s="4" t="inlineStr">
        <is>
          <t>Servicios</t>
        </is>
      </c>
      <c r="B20" s="5" t="inlineStr">
        <is>
          <t>Logística local</t>
        </is>
      </c>
      <c r="C20" s="4" t="inlineStr">
        <is>
          <t>Descarga y transporte en obra</t>
        </is>
      </c>
      <c r="D20" s="6" t="n">
        <v>1</v>
      </c>
      <c r="E20" s="7" t="inlineStr">
        <is>
          <t>global</t>
        </is>
      </c>
      <c r="F20" s="8" t="n">
        <v>450.8</v>
      </c>
      <c r="G20" s="9">
        <f>D20*F20</f>
        <v/>
      </c>
      <c r="H20" s="10" t="inlineStr">
        <is>
          <t>Medios auxiliares y camión grúa local</t>
        </is>
      </c>
    </row>
    <row r="21" ht="22" customHeight="1">
      <c r="A21" s="17" t="n"/>
      <c r="B21" s="18" t="inlineStr">
        <is>
          <t>Subtotal Mano de Obra / Servicios</t>
        </is>
      </c>
      <c r="C21" s="17" t="n"/>
      <c r="D21" s="17" t="n"/>
      <c r="E21" s="17" t="n"/>
      <c r="F21" s="17" t="n"/>
      <c r="G21" s="19">
        <f>SUM(G16:G20)</f>
        <v/>
      </c>
      <c r="H21" s="17" t="n"/>
      <c r="I21" s="20">
        <f>G21</f>
        <v/>
      </c>
    </row>
    <row r="23" ht="20" customHeight="1">
      <c r="A23" s="21" t="inlineStr">
        <is>
          <t>Cimentación</t>
        </is>
      </c>
      <c r="B23" s="22" t="inlineStr">
        <is>
          <t>Hormigón HM-25</t>
        </is>
      </c>
      <c r="C23" s="21" t="inlineStr">
        <is>
          <t>Hormigón para zapatas y solera</t>
        </is>
      </c>
      <c r="D23" s="23" t="n">
        <v>2.93</v>
      </c>
      <c r="E23" s="24" t="inlineStr">
        <is>
          <t>m³</t>
        </is>
      </c>
      <c r="F23" s="25" t="n">
        <v>140</v>
      </c>
      <c r="G23" s="26">
        <f>D23*F23</f>
        <v/>
      </c>
      <c r="H23" s="27" t="inlineStr">
        <is>
          <t>HM-25 en zapatas 70x70x50 (0.49m³) y 75x325x50 (2.44m³)</t>
        </is>
      </c>
    </row>
    <row r="24" ht="20" customHeight="1">
      <c r="A24" s="21" t="inlineStr">
        <is>
          <t>Cimentación</t>
        </is>
      </c>
      <c r="B24" s="22" t="inlineStr">
        <is>
          <t>Hormigón HL-150</t>
        </is>
      </c>
      <c r="C24" s="21" t="inlineStr">
        <is>
          <t>Hormigón de limpieza (10 cm base)</t>
        </is>
      </c>
      <c r="D24" s="23" t="n">
        <v>0.6</v>
      </c>
      <c r="E24" s="24" t="inlineStr">
        <is>
          <t>m³</t>
        </is>
      </c>
      <c r="F24" s="25" t="n">
        <v>120</v>
      </c>
      <c r="G24" s="26">
        <f>D24*F24</f>
        <v/>
      </c>
      <c r="H24" s="27" t="inlineStr">
        <is>
          <t>HL-150 base de cimientos</t>
        </is>
      </c>
    </row>
    <row r="25" ht="20" customHeight="1">
      <c r="A25" s="21" t="inlineStr">
        <is>
          <t>Cimentación</t>
        </is>
      </c>
      <c r="B25" s="22" t="inlineStr">
        <is>
          <t>Encofrados y madera</t>
        </is>
      </c>
      <c r="C25" s="21" t="inlineStr">
        <is>
          <t>Madera de encofrar y contenciones</t>
        </is>
      </c>
      <c r="D25" s="23" t="n">
        <v>1</v>
      </c>
      <c r="E25" s="24" t="inlineStr">
        <is>
          <t>global</t>
        </is>
      </c>
      <c r="F25" s="25" t="n">
        <v>200</v>
      </c>
      <c r="G25" s="26">
        <f>D25*F25</f>
        <v/>
      </c>
      <c r="H25" s="27" t="inlineStr">
        <is>
          <t>Excavación y contención provisional zapatas</t>
        </is>
      </c>
    </row>
    <row r="26" ht="20" customHeight="1">
      <c r="A26" s="21" t="inlineStr">
        <is>
          <t>Cimentación</t>
        </is>
      </c>
      <c r="B26" s="22" t="inlineStr">
        <is>
          <t>Mano Obra Cimientos</t>
        </is>
      </c>
      <c r="C26" s="21" t="inlineStr">
        <is>
          <t>Excavación, vertido y vibrado hormigón</t>
        </is>
      </c>
      <c r="D26" s="23" t="n">
        <v>60</v>
      </c>
      <c r="E26" s="24" t="inlineStr">
        <is>
          <t>h</t>
        </is>
      </c>
      <c r="F26" s="25" t="n">
        <v>38.83</v>
      </c>
      <c r="G26" s="26">
        <f>D26*F26</f>
        <v/>
      </c>
      <c r="H26" s="27" t="inlineStr">
        <is>
          <t>Mano de obra especializada cimentación civil</t>
        </is>
      </c>
    </row>
    <row r="27" ht="22" customHeight="1">
      <c r="A27" s="28" t="n"/>
      <c r="B27" s="29" t="inlineStr">
        <is>
          <t>Subtotal Cimentaciones (Sin Acero Armado)</t>
        </is>
      </c>
      <c r="C27" s="28" t="n"/>
      <c r="D27" s="28" t="n"/>
      <c r="E27" s="28" t="n"/>
      <c r="F27" s="28" t="n"/>
      <c r="G27" s="30">
        <f>SUM(G23:G26)</f>
        <v/>
      </c>
      <c r="H27" s="28" t="n"/>
      <c r="I27" s="20">
        <f>G27</f>
        <v/>
      </c>
    </row>
    <row r="29" ht="24" customHeight="1">
      <c r="B29" s="31" t="inlineStr">
        <is>
          <t>RESUMEN ECONÓMICO FINAL</t>
        </is>
      </c>
      <c r="C29" s="32" t="n"/>
      <c r="D29" s="32" t="n"/>
      <c r="E29" s="32" t="n"/>
      <c r="F29" s="32" t="n"/>
      <c r="G29" s="33">
        <f>I14+I20+I26</f>
        <v/>
      </c>
      <c r="H29" s="32" t="n"/>
      <c r="I29" s="33">
        <f>I14+I20+I26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55" customWidth="1" min="4" max="4"/>
  </cols>
  <sheetData>
    <row r="1" ht="40" customHeight="1">
      <c r="A1" s="34" t="inlineStr">
        <is>
          <t>RESUMEN COMERCIAL Y COMPARATIVA DE ALCANCES</t>
        </is>
      </c>
    </row>
    <row r="3">
      <c r="A3" s="35" t="inlineStr">
        <is>
          <t>Partida / Pérgola</t>
        </is>
      </c>
      <c r="B3" s="35" t="inlineStr">
        <is>
          <t>Opción SIN Cimentación</t>
        </is>
      </c>
      <c r="C3" s="35" t="inlineStr">
        <is>
          <t>Opción CON Cimentación</t>
        </is>
      </c>
      <c r="D3" s="35" t="inlineStr">
        <is>
          <t>Notas / Exclusiones</t>
        </is>
      </c>
    </row>
    <row r="4" ht="22" customHeight="1">
      <c r="A4" s="4" t="inlineStr">
        <is>
          <t>1. Estructura de Pilares y Brazos (Trellis)</t>
        </is>
      </c>
      <c r="B4" s="8">
        <f>SUM('Desglose de Costes'!G5:G8, 'Desglose de Costes'!G9, 'Desglose de Costes'!G13)*1.1</f>
        <v/>
      </c>
      <c r="C4" s="8">
        <f>SUM('Desglose de Costes'!G5:G8, 'Desglose de Costes'!G9, 'Desglose de Costes'!G13)*1.1</f>
        <v/>
      </c>
      <c r="D4" s="10" t="inlineStr">
        <is>
          <t>Suministro fabricado de 6 pilares Ø114.3, marcos T100.10, vigas RHS, placas de 10mm, rigidizadores, portes y consumibles taller (+10%)</t>
        </is>
      </c>
    </row>
    <row r="5" ht="22" customHeight="1">
      <c r="A5" s="4" t="inlineStr">
        <is>
          <t>2. Sistema de cables Trellis de guiado</t>
        </is>
      </c>
      <c r="B5" s="8">
        <f>SUM('Desglose de Costes'!G10:G11)*1.1</f>
        <v/>
      </c>
      <c r="C5" s="8">
        <f>SUM('Desglose de Costes'!G10:G11)*1.1</f>
        <v/>
      </c>
      <c r="D5" s="10" t="inlineStr">
        <is>
          <t>Suministro e instalación de 350 ml de cable Ø6 mm inox AISI 316, 30 sets de tensores e inclinadores (+10%)</t>
        </is>
      </c>
    </row>
    <row r="6" ht="22" customHeight="1">
      <c r="A6" s="4" t="inlineStr">
        <is>
          <t>3. Pernos de cimentación y anclajes</t>
        </is>
      </c>
      <c r="B6" s="8">
        <f>'Desglose de Costes'!G12*1.1</f>
        <v/>
      </c>
      <c r="C6" s="8">
        <f>'Desglose de Costes'!G12*1.1</f>
        <v/>
      </c>
      <c r="D6" s="10" t="inlineStr">
        <is>
          <t>Suministro de 24 espárragos M16 A4-80 y taco químico (+10%)</t>
        </is>
      </c>
    </row>
    <row r="7" ht="22" customHeight="1">
      <c r="A7" s="4" t="inlineStr">
        <is>
          <t>4. Mano de Obra y Montaje</t>
        </is>
      </c>
      <c r="B7" s="8">
        <f>'Desglose de Costes'!I20</f>
        <v/>
      </c>
      <c r="C7" s="8">
        <f>'Desglose de Costes'!I20</f>
        <v/>
      </c>
      <c r="D7" s="10" t="inlineStr">
        <is>
          <t>Ingeniería, fabricación en taller, pulido satinado y montaje final de estructura y cableado in situ</t>
        </is>
      </c>
    </row>
    <row r="8" ht="22" customHeight="1">
      <c r="A8" s="4" t="inlineStr">
        <is>
          <t>5. Cimentaciones (Obra Civil)</t>
        </is>
      </c>
      <c r="B8" s="8" t="n">
        <v>0</v>
      </c>
      <c r="C8" s="8">
        <f>'Desglose de Costes'!I26</f>
        <v/>
      </c>
      <c r="D8" s="10" t="inlineStr">
        <is>
          <t>Excavación, hormigón HM-25 y HL-150, encofrado y mano de obra civil (excluido acero corrugado)</t>
        </is>
      </c>
    </row>
    <row r="9" ht="22" customHeight="1">
      <c r="A9" s="36" t="inlineStr">
        <is>
          <t>PRECIO FINAL SUGERIDO (Base Imponible)</t>
        </is>
      </c>
      <c r="B9" s="33">
        <f>SUM(B4:B8)</f>
        <v/>
      </c>
      <c r="C9" s="33">
        <f>SUM(C4:C8)</f>
        <v/>
      </c>
      <c r="D9" s="37" t="inlineStr">
        <is>
          <t>Precio neto ajustado al máximo, sin coeficientes comerciales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2026-07-07T06:48:02Z</dcterms:created>
  <dcterms:modified xmlns:dcterms="http://purl.org/dc/terms/" xmlns:xsi="http://www.w3.org/2001/XMLSchema-instance" xsi:type="dcterms:W3CDTF">2026-07-07T06:48:02Z</dcterms:modified>
</cp:coreProperties>
</file>