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1.5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Granite® HDX55 (55 µm) por AMBAS CARAS | Fijaciones roscachapa galvanizadas con arandela vulcanizada EPDM | Medios mecánicos y fletes integrados | Opcionales: 2 escalas de gato inox con crinolina (+30%) + Línea LuxTop® (18.000 €)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 (CON MEDIOS INTEGRADOS)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Incluye descenso a cota cero con grúa pluma y plataforma elevadora (medios integrados), acopio, clasificación de residuos férricos, carga, transporte y entrega en centro autorizado de gestión y reciclaje de residuos de Menorca, con tasas y canon oficial de vertedero incluidos.</t>
        </is>
      </c>
      <c r="C20" s="17" t="inlineStr">
        <is>
          <t>m²</t>
        </is>
      </c>
      <c r="D20" s="19" t="n">
        <v>1904</v>
      </c>
      <c r="E20" s="20" t="n">
        <v>25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roscachapa / autorroscante de acero galvanizado con arandela estanca vulcanizada de EPDM y cordón continuo de masilla hidro-expansiva de butilo en solapes. Incluye fletes marítimos Península-Menorca de paneles de gran longitud, camión grúa pluma para descarga e izado distribuido en pórticos y plataformas elevadoras PEMP integradas.</t>
        </is>
      </c>
      <c r="C21" s="17" t="inlineStr">
        <is>
          <t>m²</t>
        </is>
      </c>
      <c r="D21" s="19" t="n">
        <v>1042.5</v>
      </c>
      <c r="E21" s="20" t="n">
        <v>135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roscachapa de acero galvanizado con arandela de estanqueidad EPDM, sellado butílico continuo y repercusión íntegra de fletes marítimos y medios mecánicos de elevación y PEMP.</t>
        </is>
      </c>
      <c r="C22" s="17" t="inlineStr">
        <is>
          <t>m²</t>
        </is>
      </c>
      <c r="D22" s="19" t="n">
        <v>328.5</v>
      </c>
      <c r="E22" s="20" t="n">
        <v>135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tornillería roscachapa galvanizada con arandela EPDM, remates perimetrales frontales con goterón y repercusión de plataformas elevadoras PEMP.</t>
        </is>
      </c>
      <c r="C23" s="17" t="inlineStr">
        <is>
          <t>m²</t>
        </is>
      </c>
      <c r="D23" s="19" t="n">
        <v>533</v>
      </c>
      <c r="E23" s="20" t="n">
        <v>95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en taller y montaje de 489,15 ml de rematería técnica plegada a medida (desarrollos 300-500 mm) en chapa de acero galvanizado con idéntico recubrimiento Granite® HDX55 (55 µm): 50,23 ml de cumbrera troquelada a dos aguas, 63,34 ml de remates laterales de hastial/testero con goterón, 30,22 ml de babero de coronación contra peto, 10,40 ml de remate de salto entre naves, 174,08 ml de goterones frontales y laterales de voladizo, 160,88 ml de baberos de encuentro voladizo-fachada y 10 unidades de mordidos y cajeados estancos en salidas de chimeneas y bajantes, fijados con tornillería galvanizada lacada con junta EPDM y doble sellado perimetral continuo con masilla hidro-expansiva de butilo y polímero elástico MS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perimetral de zonas de acopio y descarga, tramitación de Coordinación de Actividades Empresariales (CAE) en plataforma aeroportuaria, gestión de acreditaciones del personal y recursos preventivos permanentes en obra.</t>
        </is>
      </c>
      <c r="C25" s="17" t="inlineStr">
        <is>
          <t>lote</t>
        </is>
      </c>
      <c r="D25" s="19" t="n">
        <v>1</v>
      </c>
      <c r="E25" s="20" t="n">
        <v>9800</v>
      </c>
      <c r="F25" s="20">
        <f>D25*E25</f>
        <v/>
      </c>
    </row>
    <row r="26">
      <c r="E26" s="21" t="inlineStr">
        <is>
          <t>Subtotal Base Imponible (Obra Base):</t>
        </is>
      </c>
      <c r="F26" s="22">
        <f>SUM(F20:F25)</f>
        <v/>
      </c>
    </row>
    <row r="27">
      <c r="E27" s="23" t="inlineStr">
        <is>
          <t>I.V.A. (21%) Obra Base:</t>
        </is>
      </c>
      <c r="F27" s="24">
        <f>F26*0.21</f>
        <v/>
      </c>
    </row>
    <row r="28">
      <c r="E28" s="25" t="inlineStr">
        <is>
          <t>TOTAL OBRA BASE (IVA incl.):</t>
        </is>
      </c>
      <c r="F28" s="26">
        <f>F26+F27</f>
        <v/>
      </c>
    </row>
    <row r="30">
      <c r="A30" s="3" t="inlineStr">
        <is>
          <t>PARTIDAS OPCIONALES INDEPENDIENTES (ACCESOS EN ACERO INOXIDABLE Y LÍNEA LUXTOP)</t>
        </is>
      </c>
    </row>
    <row r="31">
      <c r="A31" s="27" t="inlineStr">
        <is>
          <t>Partida</t>
        </is>
      </c>
      <c r="B31" s="28" t="inlineStr">
        <is>
          <t>Concepto y Descripción Técnica</t>
        </is>
      </c>
      <c r="C31" s="27" t="inlineStr">
        <is>
          <t>Unidad</t>
        </is>
      </c>
      <c r="D31" s="27" t="inlineStr">
        <is>
          <t>Cantidad</t>
        </is>
      </c>
      <c r="E31" s="27" t="inlineStr">
        <is>
          <t>Precio Unitario (€)</t>
        </is>
      </c>
      <c r="F31" s="27" t="inlineStr">
        <is>
          <t>Importe (€)</t>
        </is>
      </c>
    </row>
    <row r="32">
      <c r="A32" s="17" t="inlineStr">
        <is>
          <t>OPC-01</t>
        </is>
      </c>
      <c r="B32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con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estructurales en acero inox A4.</t>
        </is>
      </c>
      <c r="C32" s="17" t="inlineStr">
        <is>
          <t>ud</t>
        </is>
      </c>
      <c r="D32" s="19" t="n">
        <v>1</v>
      </c>
      <c r="E32" s="20" t="n">
        <v>5005</v>
      </c>
      <c r="F32" s="20">
        <f>D32*E32</f>
        <v/>
      </c>
    </row>
    <row r="33">
      <c r="A33" s="17" t="inlineStr">
        <is>
          <t>OPC-02</t>
        </is>
      </c>
      <c r="B33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3" s="17" t="inlineStr">
        <is>
          <t>ud</t>
        </is>
      </c>
      <c r="D33" s="19" t="n">
        <v>1</v>
      </c>
      <c r="E33" s="20" t="n">
        <v>7735</v>
      </c>
      <c r="F33" s="20">
        <f>D33*E33</f>
        <v/>
      </c>
    </row>
    <row r="34">
      <c r="A34" s="17" t="inlineStr">
        <is>
          <t>OPC-03</t>
        </is>
      </c>
      <c r="B34" s="18" t="inlineStr">
        <is>
          <t>OPCIONAL 3: Línea de vida permanente homologada marca LUXTOP® s/ UNE-EN 795:2012 Tipo C sobre cubierta
Suministro, replanteo, montaje y certificación oficial de sistema permanente de línea de vida horizontal continua de cable de acero inoxidable AISI 316 (Ø 8 mm) marca LUXTOP®, conforme a las normas UNE-EN 795:2012 Tipo C y CEN/TS 16415 (homologada para trabajo y rescate de hasta 4 operarios simultáneos). Instalación sobre cubierta de panel sándwich mediante postes terminales e intermedios con absorbedor de impacto dinámico patentado LuxTop®, bases de fijación estancas sobreelevadas con juntas de EPDM (evitando cualquier riesgo de filtración o puente térmico), tensor de cable con testigo micrométrico de tensión, pieza curva/esquina si procede, carros deslizadores pasantes transfronterizos sin necesidad de desconexión manual, placa de marcado identificativa CE, ensayos de tracción en obra y dossier de legalización con certificado visado.</t>
        </is>
      </c>
      <c r="C34" s="17" t="inlineStr">
        <is>
          <t>ud</t>
        </is>
      </c>
      <c r="D34" s="19" t="n">
        <v>1</v>
      </c>
      <c r="E34" s="20" t="n">
        <v>18000</v>
      </c>
      <c r="F34" s="20">
        <f>D34*E34</f>
        <v/>
      </c>
    </row>
    <row r="35">
      <c r="E35" s="29" t="inlineStr">
        <is>
          <t>Subtotal Opcionales (Base Imp.):</t>
        </is>
      </c>
      <c r="F35" s="30">
        <f>SUM(F32:F34)</f>
        <v/>
      </c>
    </row>
    <row r="36">
      <c r="E36" s="23" t="inlineStr">
        <is>
          <t>I.V.A. (21%) Opcionales:</t>
        </is>
      </c>
      <c r="F36" s="24">
        <f>F35*0.21</f>
        <v/>
      </c>
    </row>
    <row r="37">
      <c r="E37" s="31" t="inlineStr">
        <is>
          <t>TOTAL OPCIONALES (IVA incl.):</t>
        </is>
      </c>
      <c r="F37" s="32">
        <f>F35+F36</f>
        <v/>
      </c>
    </row>
    <row r="39">
      <c r="E39" s="33" t="inlineStr">
        <is>
          <t>TOTAL BASE IMPONIBLE CONJUNTA:</t>
        </is>
      </c>
      <c r="F39" s="34">
        <f>F26+F35</f>
        <v/>
      </c>
    </row>
    <row r="40">
      <c r="E40" s="35" t="inlineStr">
        <is>
          <t>I.V.A. (21%) Conjunto:</t>
        </is>
      </c>
      <c r="F40" s="36">
        <f>F39*0.21</f>
        <v/>
      </c>
    </row>
    <row r="41">
      <c r="E41" s="37" t="inlineStr">
        <is>
          <t>TOTAL GENERAL CONTRATO (IVA incl.):</t>
        </is>
      </c>
      <c r="F41" s="38">
        <f>F39+F40</f>
        <v/>
      </c>
    </row>
    <row r="43">
      <c r="A43" s="3" t="inlineStr">
        <is>
          <t>CONDICIONES COMERCIALES Y DE EJECUCIÓN</t>
        </is>
      </c>
    </row>
    <row r="44">
      <c r="A44" s="3" t="inlineStr">
        <is>
          <t>• Forma de pago:</t>
        </is>
      </c>
      <c r="B44" s="4" t="inlineStr">
        <is>
          <t>A convenir con el cliente según avance y certificaciones de obra.</t>
        </is>
      </c>
    </row>
    <row r="45">
      <c r="A45" s="3" t="inlineStr">
        <is>
          <t>• Plazo de ejecución:</t>
        </is>
      </c>
      <c r="B45" s="4" t="inlineStr">
        <is>
          <t>2 a 3 meses desde la recepción de materiales en obra y formalización del contrato.</t>
        </is>
      </c>
    </row>
    <row r="46">
      <c r="A46" s="3" t="inlineStr">
        <is>
          <t>• Garantías:</t>
        </is>
      </c>
      <c r="B46" s="4" t="inlineStr">
        <is>
          <t>10 años en recubrimiento Granite® HDX55, en acero inoxidable y en sistema LuxTop®; 5 años en estanqueidad; 2 años en montaje</t>
        </is>
      </c>
    </row>
    <row r="47">
      <c r="A47" s="3" t="inlineStr">
        <is>
          <t>• Validez de oferta:</t>
        </is>
      </c>
      <c r="B47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8" customWidth="1" min="5" max="5"/>
    <col width="22" customWidth="1" min="6" max="6"/>
  </cols>
  <sheetData>
    <row r="1">
      <c r="A1" s="39" t="inlineStr">
        <is>
          <t>HAM ESTRUCTURAS METÁLICAS - ESCANDALLO DE COMPRA Y COSTES DIRECTOS INTERNOS</t>
        </is>
      </c>
    </row>
    <row r="2">
      <c r="A2" s="40" t="inlineStr">
        <is>
          <t>CONFIDENCIAL: USO INTERNO EXCLUSIVO · TARIFAS ACTUALIZADAS (01: 25€, 02/03: 135€, 04: 95€) · MEDIOS INTEGRADOS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36" t="n">
        <v>36</v>
      </c>
      <c r="C5" s="4" t="inlineStr">
        <is>
          <t>€/m² (acopio fábrica Península)</t>
        </is>
      </c>
    </row>
    <row r="6">
      <c r="A6" s="3" t="inlineStr">
        <is>
          <t>Coste compra Panel/Chapa HDX55 Voladizos 2 caras:</t>
        </is>
      </c>
      <c r="B6" s="36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36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41" t="inlineStr">
        <is>
          <t>Capítulo</t>
        </is>
      </c>
      <c r="B10" s="42" t="inlineStr">
        <is>
          <t>Concepto de Coste Interno</t>
        </is>
      </c>
      <c r="C10" s="41" t="inlineStr">
        <is>
          <t>Unidad</t>
        </is>
      </c>
      <c r="D10" s="41" t="inlineStr">
        <is>
          <t>Medición</t>
        </is>
      </c>
      <c r="E10" s="41" t="inlineStr">
        <is>
          <t>Coste Unit. HAM (€)</t>
        </is>
      </c>
      <c r="F10" s="41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grecada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roscachapa de acero galvanizado con arandela EPDM, accesorios fijación y masilla butilo</t>
        </is>
      </c>
      <c r="C13" s="17" t="inlineStr">
        <is>
          <t>lote</t>
        </is>
      </c>
      <c r="D13" s="19" t="n">
        <v>1</v>
      </c>
      <c r="E13" s="20" t="n">
        <v>5200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MAT-06</t>
        </is>
      </c>
      <c r="B16" s="18" t="inlineStr">
        <is>
          <t>Materiales perfiles, peldaños y cancelas en ACERO INOXIDABLE para 2 escalas con crinolina</t>
        </is>
      </c>
      <c r="C16" s="17" t="inlineStr">
        <is>
          <t>lote</t>
        </is>
      </c>
      <c r="D16" s="19" t="n">
        <v>1</v>
      </c>
      <c r="E16" s="20" t="n">
        <v>3700</v>
      </c>
      <c r="F16" s="20">
        <f>D16*E16</f>
        <v/>
      </c>
    </row>
    <row r="17">
      <c r="A17" s="17" t="inlineStr">
        <is>
          <t>MAT-07</t>
        </is>
      </c>
      <c r="B17" s="18" t="inlineStr">
        <is>
          <t>Materiales sistema línea de vida LuxTop® (cable AISI 316, postes absorbedores, tensor y carros)</t>
        </is>
      </c>
      <c r="C17" s="17" t="inlineStr">
        <is>
          <t>lote</t>
        </is>
      </c>
      <c r="D17" s="19" t="n">
        <v>1</v>
      </c>
      <c r="E17" s="20" t="n">
        <v>10300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HAM obra base (cuadrilla de 4 oficiales ~800 h)</t>
        </is>
      </c>
      <c r="C18" s="17" t="inlineStr">
        <is>
          <t>horas</t>
        </is>
      </c>
      <c r="D18" s="19" t="n">
        <v>800</v>
      </c>
      <c r="E18" s="20">
        <f>B7</f>
        <v/>
      </c>
      <c r="F18" s="20">
        <f>D18*E18</f>
        <v/>
      </c>
    </row>
    <row r="19">
      <c r="A19" s="17" t="inlineStr">
        <is>
          <t>MO-02</t>
        </is>
      </c>
      <c r="B19" s="18" t="inlineStr">
        <is>
          <t>Mano de obra taller y montaje 2 escalas inox + instalación/ensayo línea LuxTop (~100 h)</t>
        </is>
      </c>
      <c r="C19" s="17" t="inlineStr">
        <is>
          <t>horas</t>
        </is>
      </c>
      <c r="D19" s="19" t="n">
        <v>100</v>
      </c>
      <c r="E19" s="20">
        <f>B7</f>
        <v/>
      </c>
      <c r="F19" s="20">
        <f>D19*E19</f>
        <v/>
      </c>
    </row>
    <row r="20">
      <c r="A20" s="17" t="inlineStr">
        <is>
          <t>LOG-01</t>
        </is>
      </c>
      <c r="B20" s="18" t="inlineStr">
        <is>
          <t>Fletes marítimos Península-Menorca para transporte de trailers especiales paneles gran formato</t>
        </is>
      </c>
      <c r="C20" s="17" t="inlineStr">
        <is>
          <t>lote</t>
        </is>
      </c>
      <c r="D20" s="19" t="n">
        <v>1</v>
      </c>
      <c r="E20" s="20" t="n">
        <v>5200</v>
      </c>
      <c r="F20" s="20">
        <f>D20*E20</f>
        <v/>
      </c>
    </row>
    <row r="21">
      <c r="A21" s="17" t="inlineStr">
        <is>
          <t>LOG-02</t>
        </is>
      </c>
      <c r="B21" s="18" t="inlineStr">
        <is>
          <t>Camión grúa pluma autopropulsada para descarga e izado distribuido sobre pórticos</t>
        </is>
      </c>
      <c r="C21" s="17" t="inlineStr">
        <is>
          <t>lote</t>
        </is>
      </c>
      <c r="D21" s="19" t="n">
        <v>1</v>
      </c>
      <c r="E21" s="20" t="n">
        <v>4600</v>
      </c>
      <c r="F21" s="20">
        <f>D21*E21</f>
        <v/>
      </c>
    </row>
    <row r="22">
      <c r="A22" s="17" t="inlineStr">
        <is>
          <t>LOG-03</t>
        </is>
      </c>
      <c r="B22" s="18" t="inlineStr">
        <is>
          <t>Alquiler de 2 plataformas elevadoras móviles de personal (PEMP) articuladas para montaje</t>
        </is>
      </c>
      <c r="C22" s="17" t="inlineStr">
        <is>
          <t>lote</t>
        </is>
      </c>
      <c r="D22" s="19" t="n">
        <v>1</v>
      </c>
      <c r="E22" s="20" t="n">
        <v>3400</v>
      </c>
      <c r="F22" s="20">
        <f>D22*E22</f>
        <v/>
      </c>
    </row>
    <row r="23">
      <c r="A23" s="17" t="inlineStr">
        <is>
          <t>PRL-01</t>
        </is>
      </c>
      <c r="B23" s="18" t="inlineStr">
        <is>
          <t>Protecciones colectivas: redes anticaídas bajo faldones UNE-EN 1263-1 y líneas de vida EN 795</t>
        </is>
      </c>
      <c r="C23" s="17" t="inlineStr">
        <is>
          <t>lote</t>
        </is>
      </c>
      <c r="D23" s="19" t="n">
        <v>1</v>
      </c>
      <c r="E23" s="20" t="n">
        <v>3800</v>
      </c>
      <c r="F23" s="20">
        <f>D23*E23</f>
        <v/>
      </c>
    </row>
    <row r="24">
      <c r="A24" s="17" t="inlineStr">
        <is>
          <t>PRL-02</t>
        </is>
      </c>
      <c r="B24" s="18" t="inlineStr">
        <is>
          <t>Canon de vertedero insular y tasas de centro de reciclaje autorizado de Menorca</t>
        </is>
      </c>
      <c r="C24" s="17" t="inlineStr">
        <is>
          <t>lote</t>
        </is>
      </c>
      <c r="D24" s="19" t="n">
        <v>1</v>
      </c>
      <c r="E24" s="20" t="n">
        <v>1800</v>
      </c>
      <c r="F24" s="20">
        <f>D24*E24</f>
        <v/>
      </c>
    </row>
    <row r="25">
      <c r="E25" s="43" t="inlineStr">
        <is>
          <t>COSTE DIRECTO TOTAL GLOBAL (CDT HAM):</t>
        </is>
      </c>
      <c r="F25" s="44">
        <f>SUM(F11:F24)</f>
        <v/>
      </c>
    </row>
    <row r="27">
      <c r="A27" s="3" t="inlineStr">
        <is>
          <t>CUADRO DE RENTABILIDAD Y BENEFICIO COMERCIAL</t>
        </is>
      </c>
    </row>
    <row r="28">
      <c r="A28" s="45" t="inlineStr">
        <is>
          <t>Concepto Económico</t>
        </is>
      </c>
      <c r="B28" s="45" t="inlineStr">
        <is>
          <t>Obra Base (€)</t>
        </is>
      </c>
      <c r="C28" s="45" t="inlineStr">
        <is>
          <t>Opcionales (€)</t>
        </is>
      </c>
      <c r="D28" s="45" t="inlineStr">
        <is>
          <t>Total Global (€)</t>
        </is>
      </c>
      <c r="E28" s="45" t="inlineStr">
        <is>
          <t>% Margen Global</t>
        </is>
      </c>
    </row>
    <row r="29">
      <c r="A29" s="46" t="inlineStr">
        <is>
          <t>Precio de Venta al Cliente (Base Imp.):</t>
        </is>
      </c>
      <c r="B29" s="47" t="n">
        <v>307970</v>
      </c>
      <c r="C29" s="47" t="n">
        <v>30740</v>
      </c>
      <c r="D29" s="47">
        <f>B29+C29</f>
        <v/>
      </c>
      <c r="E29" s="48" t="inlineStr">
        <is>
          <t>100.00%</t>
        </is>
      </c>
    </row>
    <row r="30">
      <c r="A30" s="46" t="inlineStr">
        <is>
          <t>Coste Directo Total HAM:</t>
        </is>
      </c>
      <c r="B30" s="47" t="n">
        <v>124530</v>
      </c>
      <c r="C30" s="47" t="n">
        <v>16800</v>
      </c>
      <c r="D30" s="47">
        <f>B30+C30</f>
        <v/>
      </c>
      <c r="E30" s="48">
        <f>D30/D29</f>
        <v/>
      </c>
    </row>
    <row r="31">
      <c r="A31" s="49" t="inlineStr">
        <is>
          <t>Margen Bruto de Explotación HAM:</t>
        </is>
      </c>
      <c r="B31" s="50">
        <f>B29-B30</f>
        <v/>
      </c>
      <c r="C31" s="50">
        <f>C29-C30</f>
        <v/>
      </c>
      <c r="D31" s="50">
        <f>D29-D30</f>
        <v/>
      </c>
      <c r="E31" s="51">
        <f>D31/D29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2026-10-27T14:35:15Z</dcterms:created>
  <dcterms:modified xmlns:dcterms="http://purl.org/dc/terms/" xmlns:xsi="http://www.w3.org/2001/XMLSchema-instance" xsi:type="dcterms:W3CDTF">2026-10-27T14:35:15Z</dcterms:modified>
</cp:coreProperties>
</file>