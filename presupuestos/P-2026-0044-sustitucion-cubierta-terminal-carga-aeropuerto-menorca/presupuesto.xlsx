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Cliente" sheetId="1" state="visible" r:id="rId1"/>
    <sheet xmlns:r="http://schemas.openxmlformats.org/officeDocument/2006/relationships" name="Escandallo Costes 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b val="1"/>
      <color rgb="00B91C1C"/>
      <sz val="10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b val="1"/>
      <color rgb="00FFFFFF"/>
      <sz val="9"/>
    </font>
    <font>
      <name val="Segoe UI"/>
      <b val="1"/>
      <color rgb="00FFFFFF"/>
      <sz val="10"/>
    </font>
    <font>
      <name val="Segoe UI"/>
      <b val="1"/>
      <color rgb="00B91C1C"/>
      <sz val="10.5"/>
    </font>
    <font>
      <name val="Segoe UI"/>
      <b val="1"/>
      <color rgb="00065F46"/>
      <sz val="11"/>
    </font>
    <font>
      <name val="Segoe UI"/>
      <b val="1"/>
      <color rgb="00B91C1C"/>
      <sz val="12"/>
    </font>
    <font>
      <name val="Segoe UI"/>
      <b val="1"/>
      <color rgb="001E1B4B"/>
      <sz val="14"/>
    </font>
    <font>
      <name val="Segoe UI"/>
      <b val="1"/>
      <color rgb="00EF4444"/>
      <sz val="9.5"/>
    </font>
    <font>
      <name val="Segoe UI"/>
      <b val="1"/>
      <color rgb="00FFFFFF"/>
      <sz val="9.5"/>
    </font>
  </fonts>
  <fills count="11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1E1B4B"/>
        <bgColor rgb="001E1B4B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2" borderId="1" pivotButton="0" quotePrefix="0" xfId="0"/>
    <xf numFmtId="4" fontId="3" fillId="2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3" fillId="5" borderId="0" applyAlignment="1" pivotButton="0" quotePrefix="0" xfId="0">
      <alignment horizontal="right"/>
    </xf>
    <xf numFmtId="164" fontId="3" fillId="5" borderId="0" pivotButton="0" quotePrefix="0" xfId="0"/>
    <xf numFmtId="0" fontId="4" fillId="0" borderId="0" applyAlignment="1" pivotButton="0" quotePrefix="0" xfId="0">
      <alignment horizontal="right"/>
    </xf>
    <xf numFmtId="164" fontId="4" fillId="0" borderId="0" pivotButton="0" quotePrefix="0" xfId="0"/>
    <xf numFmtId="0" fontId="7" fillId="5" borderId="2" applyAlignment="1" pivotButton="0" quotePrefix="0" xfId="0">
      <alignment horizontal="right"/>
    </xf>
    <xf numFmtId="164" fontId="7" fillId="5" borderId="2" pivotButton="0" quotePrefix="0" xfId="0"/>
    <xf numFmtId="0" fontId="6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right"/>
    </xf>
    <xf numFmtId="164" fontId="3" fillId="7" borderId="0" pivotButton="0" quotePrefix="0" xfId="0"/>
    <xf numFmtId="0" fontId="3" fillId="7" borderId="2" applyAlignment="1" pivotButton="0" quotePrefix="0" xfId="0">
      <alignment horizontal="right"/>
    </xf>
    <xf numFmtId="164" fontId="3" fillId="7" borderId="2" pivotButton="0" quotePrefix="0" xfId="0"/>
    <xf numFmtId="0" fontId="8" fillId="8" borderId="0" applyAlignment="1" pivotButton="0" quotePrefix="0" xfId="0">
      <alignment horizontal="right"/>
    </xf>
    <xf numFmtId="164" fontId="8" fillId="8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0" fontId="9" fillId="8" borderId="2" applyAlignment="1" pivotButton="0" quotePrefix="0" xfId="0">
      <alignment horizontal="right"/>
    </xf>
    <xf numFmtId="164" fontId="9" fillId="8" borderId="2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/>
    </xf>
    <xf numFmtId="164" fontId="3" fillId="2" borderId="0" pivotButton="0" quotePrefix="0" xfId="0"/>
    <xf numFmtId="0" fontId="12" fillId="3" borderId="0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0" fontId="3" fillId="10" borderId="1" pivotButton="0" quotePrefix="0" xfId="0"/>
    <xf numFmtId="164" fontId="3" fillId="10" borderId="1" applyAlignment="1" pivotButton="0" quotePrefix="0" xfId="0">
      <alignment horizontal="right"/>
    </xf>
    <xf numFmtId="10" fontId="3" fillId="1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0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HAM ESTRUCTURAS METÁLICAS (DIXIS RECURSOS Y SOLUCIONES, SL)</t>
        </is>
      </c>
    </row>
    <row r="2">
      <c r="A2" s="2" t="inlineStr">
        <is>
          <t>PRESUPUESTO TÉCNICO OFICIAL: P-2026-0044 | REF: PRE-2026-1028-AENA-CARGA-HDX-REV5</t>
        </is>
      </c>
    </row>
    <row r="4">
      <c r="A4" s="3" t="inlineStr">
        <is>
          <t>Cliente:</t>
        </is>
      </c>
      <c r="B4" s="4" t="inlineStr">
        <is>
          <t>Consultores de Ingeniería UG21 / UTE BTG-UG21 | Atn: Marina Gallego Fernández (Arquitecto / Proyectos)</t>
        </is>
      </c>
    </row>
    <row r="5">
      <c r="A5" s="3" t="inlineStr">
        <is>
          <t>Proyecto:</t>
        </is>
      </c>
      <c r="B5" s="4" t="inlineStr">
        <is>
          <t>100.174 Sustitución Cubierta Terminal de Carga - Proyecto Básico | Promotor: AENA S.M.E., S.A. - Dirección de Infraestructuras</t>
        </is>
      </c>
    </row>
    <row r="6">
      <c r="A6" s="3" t="inlineStr">
        <is>
          <t>Emplazamiento:</t>
        </is>
      </c>
      <c r="B6" s="4" t="inlineStr">
        <is>
          <t>Terminal de Carga, Aeropuerto de Menorca, Mahón (Menorca)</t>
        </is>
      </c>
    </row>
    <row r="7">
      <c r="A7" s="3" t="inlineStr">
        <is>
          <t>Fecha de emisión:</t>
        </is>
      </c>
      <c r="B7" s="4" t="inlineStr">
        <is>
          <t>28/10/2026</t>
        </is>
      </c>
    </row>
    <row r="9">
      <c r="A9" s="5" t="inlineStr">
        <is>
          <t>SISTEMA TÉCNICO</t>
        </is>
      </c>
      <c r="B9" s="6" t="inlineStr">
        <is>
          <t>Panel Sándwich Cubierta PIR 40 mm (B-s1,d0) + Chapas grecadas voladizos y tabica con acabado Granite® HDX55 (55 µm) por AMBAS CARAS | Fijaciones roscachapa galvanizadas con arandela vulcanizada EPDM | Medios mecánicos y fletes integrados | Opcionales: 2 escalas de gato inox con crinolina (+30%) + Línea LuxTop® (18.000 €)</t>
        </is>
      </c>
    </row>
    <row r="11">
      <c r="A11" s="3" t="inlineStr">
        <is>
          <t>DESGLOSE DE SUPERFICIES DE ACTUACIÓN</t>
        </is>
      </c>
    </row>
    <row r="12">
      <c r="A12" s="7" t="inlineStr">
        <is>
          <t>Zona</t>
        </is>
      </c>
      <c r="B12" s="8" t="inlineStr">
        <is>
          <t>Descripción del Elemento</t>
        </is>
      </c>
      <c r="C12" s="8" t="inlineStr">
        <is>
          <t>Tipología Constructiva</t>
        </is>
      </c>
      <c r="D12" s="7" t="inlineStr">
        <is>
          <t>Superficie (m²)</t>
        </is>
      </c>
      <c r="E12" s="7" t="inlineStr">
        <is>
          <t>Acabado de Protección</t>
        </is>
      </c>
      <c r="F12" s="7" t="inlineStr">
        <is>
          <t>Ambiente</t>
        </is>
      </c>
    </row>
    <row r="13">
      <c r="A13" s="9" t="inlineStr">
        <is>
          <t>1</t>
        </is>
      </c>
      <c r="B13" s="10" t="inlineStr">
        <is>
          <t>Cubierta faldones principales a dos aguas</t>
        </is>
      </c>
      <c r="C13" s="10" t="inlineStr">
        <is>
          <t>Panel sándwich 40 mm PIR (UNE-EN 14509)</t>
        </is>
      </c>
      <c r="D13" s="11" t="n">
        <v>1042.5</v>
      </c>
      <c r="E13" s="9" t="inlineStr">
        <is>
          <t>Granite® HDX55 (2 caras)</t>
        </is>
      </c>
      <c r="F13" s="9" t="inlineStr">
        <is>
          <t>Marino C5-M / Aéreo</t>
        </is>
      </c>
    </row>
    <row r="14">
      <c r="A14" s="9" t="inlineStr">
        <is>
          <t>2</t>
        </is>
      </c>
      <c r="B14" s="10" t="inlineStr">
        <is>
          <t>Cubierta faldón a un agua</t>
        </is>
      </c>
      <c r="C14" s="10" t="inlineStr">
        <is>
          <t>Panel sándwich 40 mm PIR adaptado a petos</t>
        </is>
      </c>
      <c r="D14" s="11" t="n">
        <v>328.5</v>
      </c>
      <c r="E14" s="9" t="inlineStr">
        <is>
          <t>Granite® HDX55 (2 caras)</t>
        </is>
      </c>
      <c r="F14" s="9" t="inlineStr">
        <is>
          <t>Marino C5-M / Aéreo</t>
        </is>
      </c>
    </row>
    <row r="15">
      <c r="A15" s="9" t="inlineStr">
        <is>
          <t>3</t>
        </is>
      </c>
      <c r="B15" s="10" t="inlineStr">
        <is>
          <t>Voladizos en fachadas (cobertura superior)</t>
        </is>
      </c>
      <c r="C15" s="10" t="inlineStr">
        <is>
          <t>Chapa/panel grecado sobre ménsulas metálicas</t>
        </is>
      </c>
      <c r="D15" s="11" t="n">
        <v>533</v>
      </c>
      <c r="E15" s="9" t="inlineStr">
        <is>
          <t>Granite® HDX55 (2 caras) + Imprimación</t>
        </is>
      </c>
      <c r="F15" s="9" t="inlineStr">
        <is>
          <t>Marino C5-M / Aéreo</t>
        </is>
      </c>
    </row>
    <row r="16">
      <c r="A16" s="9" t="inlineStr">
        <is>
          <t>4</t>
        </is>
      </c>
      <c r="B16" s="10" t="inlineStr">
        <is>
          <t>Lado inferior de voladizos (cielo raso)</t>
        </is>
      </c>
      <c r="C16" s="10" t="inlineStr">
        <is>
          <t>Chapa grecada bajo viguetas en ménsula</t>
        </is>
      </c>
      <c r="D16" s="11" t="n">
        <v>533.6</v>
      </c>
      <c r="E16" s="9" t="inlineStr">
        <is>
          <t>Granite® HDX55 (2 caras)</t>
        </is>
      </c>
      <c r="F16" s="9" t="inlineStr">
        <is>
          <t>Marino C5-M / Aéreo</t>
        </is>
      </c>
    </row>
    <row r="17">
      <c r="A17" s="9" t="inlineStr">
        <is>
          <t>5</t>
        </is>
      </c>
      <c r="B17" s="10" t="inlineStr">
        <is>
          <t>Tabica vertical de fachada sobre marquesinas</t>
        </is>
      </c>
      <c r="C17" s="10" t="inlineStr">
        <is>
          <t>Chapa grecada en paramento vertical</t>
        </is>
      </c>
      <c r="D17" s="11" t="n">
        <v>186.5</v>
      </c>
      <c r="E17" s="9" t="inlineStr">
        <is>
          <t>Granite® HDX55 (2 caras)</t>
        </is>
      </c>
      <c r="F17" s="9" t="inlineStr">
        <is>
          <t>Marino C5-M / Aéreo</t>
        </is>
      </c>
    </row>
    <row r="18">
      <c r="A18" s="12" t="inlineStr"/>
      <c r="B18" s="13" t="inlineStr">
        <is>
          <t>TOTAL SUPERFICIE DE ACTUACIÓN:</t>
        </is>
      </c>
      <c r="C18" s="12" t="inlineStr"/>
      <c r="D18" s="14">
        <f>SUM(D13:D17)</f>
        <v/>
      </c>
      <c r="E18" s="12" t="inlineStr">
        <is>
          <t>m² totales</t>
        </is>
      </c>
      <c r="F18" s="12" t="inlineStr"/>
    </row>
    <row r="20">
      <c r="A20" s="3" t="inlineStr">
        <is>
          <t>VALORACIÓN ECONÓMICA DE PARTIDAS BASE (CON MEDIOS INTEGRADOS)</t>
        </is>
      </c>
    </row>
    <row r="21">
      <c r="A21" s="15" t="inlineStr">
        <is>
          <t>Partida</t>
        </is>
      </c>
      <c r="B21" s="16" t="inlineStr">
        <is>
          <t>Concepto y Descripción Técnica</t>
        </is>
      </c>
      <c r="C21" s="15" t="inlineStr">
        <is>
          <t>Unidad</t>
        </is>
      </c>
      <c r="D21" s="15" t="inlineStr">
        <is>
          <t>Cantidad</t>
        </is>
      </c>
      <c r="E21" s="15" t="inlineStr">
        <is>
          <t>Precio Unitario (€)</t>
        </is>
      </c>
      <c r="F21" s="15" t="inlineStr">
        <is>
          <t>Importe (€)</t>
        </is>
      </c>
    </row>
    <row r="22">
      <c r="A22" s="17" t="inlineStr">
        <is>
          <t>01</t>
        </is>
      </c>
      <c r="B22" s="18" t="inlineStr">
        <is>
          <t>Desmontaje controlado de cubierta actual, voladizos, falso techo inferior, tabicas y gestión autorizada de residuos
Desmontaje manual y mecánico de la totalidad de la cubierta existente, chapas de voladizos superiores, falsos techos inferiores de viguetas y tabicas verticales degradadas y corroídas (superficie total 2.624,10 m²). Incluye descenso a cota cero con grúa pluma y plataforma elevadora (medios integrados), acopio clasificado de chatarra férrica, carga, transporte y entrega en centro autorizado de reciclaje de Menorca con canon oficial de vertedero incluido.</t>
        </is>
      </c>
      <c r="C22" s="17" t="inlineStr">
        <is>
          <t>m²</t>
        </is>
      </c>
      <c r="D22" s="19" t="n">
        <v>2624.1</v>
      </c>
      <c r="E22" s="20" t="n">
        <v>25</v>
      </c>
      <c r="F22" s="20">
        <f>D22*E22</f>
        <v/>
      </c>
    </row>
    <row r="23">
      <c r="A23" s="17" t="inlineStr">
        <is>
          <t>02</t>
        </is>
      </c>
      <c r="B23" s="18" t="inlineStr">
        <is>
          <t>Suministro e instalación de Panel Sándwich HDX55 en AMBAS CARAS en cubierta a dos aguas
Suministro e instalación de panel sándwich de cubierta de 3 grecas con tapajuntas integrado, compuesto por núcleo aislante rígido de PIR de 40 mm de espesor (densidad 40 kg/m³, λ = 0,022 W/m·K, clasificación al fuego B-s1,d0) y dos chapas de acero estructural galvanizado con revestimiento de protección marina severa Granite® HDX55 (55 µm de espesor) en AMBAS CARAS (exterior e interior). Fijación a estructura portante mediante tornillería roscachapa / autorroscante de acero galvanizado con arandela estanca vulcanizada de EPDM y cordón continuo de masilla hidro-expansiva de butilo en solapes. Incluye fletes marítimos Península-Menorca de paneles de gran longitud, camión grúa pluma para descarga e izado distribuido en pórticos y plataformas elevadoras PEMP integradas.</t>
        </is>
      </c>
      <c r="C23" s="17" t="inlineStr">
        <is>
          <t>m²</t>
        </is>
      </c>
      <c r="D23" s="19" t="n">
        <v>1042.5</v>
      </c>
      <c r="E23" s="20" t="n">
        <v>135</v>
      </c>
      <c r="F23" s="20">
        <f>D23*E23</f>
        <v/>
      </c>
    </row>
    <row r="24">
      <c r="A24" s="17" t="inlineStr">
        <is>
          <t>03</t>
        </is>
      </c>
      <c r="B24" s="18" t="inlineStr">
        <is>
          <t>Suministro e instalación de Panel Sándwich HDX55 en AMBAS CARAS en cubierta a un agua
Suministro e instalación de panel sándwich de cubierta de 3 grecas con tapajuntas integrado (espesor 40 mm PIR, B-s1,d0) con acabado de alta durabilidad Granite® HDX55 (55 µm) por ambas caras (exterior e interior) en faldón a un agua. Incluye adaptaciones mecánicas de faldón, cortes en encuentros contra paramentos verticales y petos, fijaciones roscachapa de acero galvanizado con arandela de estanqueidad EPDM, sellado butílico continuo y repercusión íntegra de fletes marítimos y medios mecánicos de elevación y PEMP.</t>
        </is>
      </c>
      <c r="C24" s="17" t="inlineStr">
        <is>
          <t>m²</t>
        </is>
      </c>
      <c r="D24" s="19" t="n">
        <v>328.5</v>
      </c>
      <c r="E24" s="20" t="n">
        <v>135</v>
      </c>
      <c r="F24" s="20">
        <f>D24*E24</f>
        <v/>
      </c>
    </row>
    <row r="25">
      <c r="A25" s="17" t="inlineStr">
        <is>
          <t>04</t>
        </is>
      </c>
      <c r="B25" s="18" t="inlineStr">
        <is>
          <t>Sustitución de cobertura superior de voladizos en muelles de carga con acabado HDX55 e imprimación anticorrosiva
Rehabilitación y sustitución de la cubierta superior de los voladizos de fachada (muelles de carga, 267 m² por fachada, total 533 m²). Incluye cepillado y saneado mecánico superficial con eliminación de óxido en viguetas metálicas en ménsula existentes, aplicación de capa de imprimación epoxi anticorrosiva rica en zinc de alto espesor (C5-M), e instalación de nueva cobertura con chapa/panel protegida con revestimiento HDX55 (55 µm) en ambas caras, con tornillería roscachapa galvanizada con arandela EPDM, remates perimetrales frontales con goterón y repercusión de plataformas elevadoras PEMP.</t>
        </is>
      </c>
      <c r="C25" s="17" t="inlineStr">
        <is>
          <t>m²</t>
        </is>
      </c>
      <c r="D25" s="19" t="n">
        <v>533</v>
      </c>
      <c r="E25" s="20" t="n">
        <v>95</v>
      </c>
      <c r="F25" s="20">
        <f>D25*E25</f>
        <v/>
      </c>
    </row>
    <row r="26">
      <c r="A26" s="17" t="inlineStr">
        <is>
          <t>05</t>
        </is>
      </c>
      <c r="B26" s="18" t="inlineStr">
        <is>
          <t>Suministro e instalación de chapa grecada HDX55 en AMBAS CARAS en lado inferior de voladizos (cielo raso)
Suministro e instalación de chapa grecada de acero estructural galvanizado con revestimiento anticorrosión marina Granite® HDX55 (55 µm) en AMBAS CARAS por la cara inferior de las viguetas en ménsula de los muelles de carga (cielo raso / forro inferior de voladizos). Incluye nivelación, fijación directa a viguetas mediante tornillería roscachapa de acero galvanizado con arandela vulcanizada de EPDM, perfilería perimetral de ajuste y remate, y repercusión completa de plataformas PEMP y fletes.</t>
        </is>
      </c>
      <c r="C26" s="17" t="inlineStr">
        <is>
          <t>m²</t>
        </is>
      </c>
      <c r="D26" s="19" t="n">
        <v>533.6</v>
      </c>
      <c r="E26" s="20" t="n">
        <v>95</v>
      </c>
      <c r="F26" s="20">
        <f>D26*E26</f>
        <v/>
      </c>
    </row>
    <row r="27">
      <c r="A27" s="17" t="inlineStr">
        <is>
          <t>06</t>
        </is>
      </c>
      <c r="B27" s="18" t="inlineStr">
        <is>
          <t>Suministro e instalación de chapa grecada HDX55 en AMBAS CARAS en tabica vertical de fachada sobre voladizos
Suministro e instalación de chapa grecada de acero galvanizado con idéntico recubrimiento Granite® HDX55 (55 µm) en ambas caras en paramento vertical de tabica de fachada sobre marquesinas/voladizos de muelles. Incluye adaptaciones mecánicas en encuentros de peto, solapes estancos con cordón de butilo, tornillería roscachapa galvanizada con junta de estanqueidad de EPDM y medios de elevación con plataformas articuladas PEMP integrados.</t>
        </is>
      </c>
      <c r="C27" s="17" t="inlineStr">
        <is>
          <t>m²</t>
        </is>
      </c>
      <c r="D27" s="19" t="n">
        <v>186.5</v>
      </c>
      <c r="E27" s="20" t="n">
        <v>95</v>
      </c>
      <c r="F27" s="20">
        <f>D27*E27</f>
        <v/>
      </c>
    </row>
    <row r="28">
      <c r="A28" s="17" t="inlineStr">
        <is>
          <t>07</t>
        </is>
      </c>
      <c r="B28" s="18" t="inlineStr">
        <is>
          <t>Rematería completa en acero con acabado HDX55, coronaciones, encuentros, mordidos y sellados
Suministro, conformación en taller y montaje de 489,15 ml de rematería técnica plegada a medida (desarrollos 300-500 mm) en chapa de acero galvanizado con idéntico recubrimiento Granite® HDX55 (55 µm): 50,23 ml de cumbrera troquelada a dos aguas, 63,34 ml de remates laterales de hastial/testero con goterón, 30,22 ml de babero de coronación contra peto, 10,40 ml de remate de salto entre naves, 174,08 ml de goterones frontales y laterales de voladizo, 160,88 ml de baberos de encuentro voladizo-fachada y 10 unidades de mordidos y cajeados estancos en salidas de chimeneas y bajantes, fijados con tornillería galvanizada lacada con junta EPDM y doble sellado perimetral continuo con masilla hidro-expansiva de butilo y polímero elástico MS exterior.</t>
        </is>
      </c>
      <c r="C28" s="17" t="inlineStr">
        <is>
          <t>lote</t>
        </is>
      </c>
      <c r="D28" s="19" t="n">
        <v>1</v>
      </c>
      <c r="E28" s="20" t="n">
        <v>14850</v>
      </c>
      <c r="F28" s="20">
        <f>D28*E28</f>
        <v/>
      </c>
    </row>
    <row r="29">
      <c r="A29" s="17" t="inlineStr">
        <is>
          <t>08</t>
        </is>
      </c>
      <c r="B29" s="18" t="inlineStr">
        <is>
          <t>Seguridad y salud, protecciones colectivas en altura y protocolo aeroportuario AENA
Implantación de medidas de seguridad y salud en altura bajo estricta normativa de AENA en terminal de carga: instalación de redes de seguridad anticaídas bajo faldones según norma UNE-EN 1263-1, líneas de vida provisionales homologadas UNE-EN 795, balizamiento perimetral de zonas de acopio y descarga, tramitación de Coordinación de Actividades Empresariales (CAE) en plataforma aeroportuaria, gestión de acreditaciones del personal y recursos preventivos permanentes en obra.</t>
        </is>
      </c>
      <c r="C29" s="17" t="inlineStr">
        <is>
          <t>lote</t>
        </is>
      </c>
      <c r="D29" s="19" t="n">
        <v>1</v>
      </c>
      <c r="E29" s="20" t="n">
        <v>9800</v>
      </c>
      <c r="F29" s="20">
        <f>D29*E29</f>
        <v/>
      </c>
    </row>
    <row r="30">
      <c r="E30" s="21" t="inlineStr">
        <is>
          <t>Subtotal Base Imponible (Obra Base):</t>
        </is>
      </c>
      <c r="F30" s="22">
        <f>SUM(F22:F29)</f>
        <v/>
      </c>
    </row>
    <row r="31">
      <c r="E31" s="23" t="inlineStr">
        <is>
          <t>I.V.A. (21%) Obra Base:</t>
        </is>
      </c>
      <c r="F31" s="24">
        <f>F30*0.21</f>
        <v/>
      </c>
    </row>
    <row r="32">
      <c r="E32" s="25" t="inlineStr">
        <is>
          <t>TOTAL OBRA BASE (IVA incl.):</t>
        </is>
      </c>
      <c r="F32" s="26">
        <f>F30+F31</f>
        <v/>
      </c>
    </row>
    <row r="34">
      <c r="A34" s="3" t="inlineStr">
        <is>
          <t>PARTIDAS OPCIONALES INDEPENDIENTES (ACCESOS EN ACERO INOXIDABLE Y LÍNEA LUXTOP)</t>
        </is>
      </c>
    </row>
    <row r="35">
      <c r="A35" s="27" t="inlineStr">
        <is>
          <t>Partida</t>
        </is>
      </c>
      <c r="B35" s="28" t="inlineStr">
        <is>
          <t>Concepto y Descripción Técnica</t>
        </is>
      </c>
      <c r="C35" s="27" t="inlineStr">
        <is>
          <t>Unidad</t>
        </is>
      </c>
      <c r="D35" s="27" t="inlineStr">
        <is>
          <t>Cantidad</t>
        </is>
      </c>
      <c r="E35" s="27" t="inlineStr">
        <is>
          <t>Precio Unitario (€)</t>
        </is>
      </c>
      <c r="F35" s="27" t="inlineStr">
        <is>
          <t>Importe (€)</t>
        </is>
      </c>
    </row>
    <row r="36">
      <c r="A36" s="17" t="inlineStr">
        <is>
          <t>OPC-01</t>
        </is>
      </c>
      <c r="B36" s="18" t="inlineStr">
        <is>
          <t>OPCIONAL 1: Escalera de gato con protección dorsal en acero inoxidable para acceso a voladizo (H ≈ 4,20 m)
Fabricación, suministro e instalación de escalera fija de gato según norma UNE-EN ISO 14122-4 realizada íntegramente en ACERO INOXIDABLE (AISI 304/316) para acceso seguro desde cota suelo a voladizo (altura aprox. 4,20 m, desarrollo total 5,30 m con desembarco). Incluye montantes verticales de pletina/tubo inox, peldaños antideslizantes estriados de seguridad, jaula de protección dorsal (crinolina) con aros y tirantes longitudinales en pletina inox a partir de 2,20 m, desembarco superior ensanchado con barandillas de salida de 1.100 mm, compuerta batiente de gravedad/muelle con cierre automático, placa de condena inferior anti-intrusión con candado en acero inoxidable para control de acceso aeroportuario AENA, y anclajes químicos estructurales en acero inox A4.</t>
        </is>
      </c>
      <c r="C36" s="17" t="inlineStr">
        <is>
          <t>ud</t>
        </is>
      </c>
      <c r="D36" s="19" t="n">
        <v>1</v>
      </c>
      <c r="E36" s="20" t="n">
        <v>5005</v>
      </c>
      <c r="F36" s="20">
        <f>D36*E36</f>
        <v/>
      </c>
    </row>
    <row r="37">
      <c r="A37" s="17" t="inlineStr">
        <is>
          <t>OPC-02</t>
        </is>
      </c>
      <c r="B37" s="18" t="inlineStr">
        <is>
          <t>OPCIONAL 2: Escalera de gato con protección dorsal en acero inoxidable para acceso a cubierta (H ≈ 6,80 m)
Fabricación, suministro e instalación de escalera fija de gato según norma UNE-EN ISO 14122-4 realizada íntegramente en ACERO INOXIDABLE (AISI 304/316) para acceso técnico y de mantenimiento a la cubierta principal del edificio (altura aprox. 6,80 m, desarrollo total 7,90 m con desembarco). Incluye montantes de acero inox, peldaños antideslizantes mecanizados, jaula dorsal continua (crinolina) en acero inox a partir de 2,50 m de altura, desembarco superior protegido con barandillas de 1.100 mm y rodapié, puerta batiente de salida con resorte de cierre automático de seguridad, portón inferior abatible de bloqueo anti-intrusión con cerradura/candado de seguridad en acero inoxidable, y fijaciones estructurales en acero inoxidable A4.</t>
        </is>
      </c>
      <c r="C37" s="17" t="inlineStr">
        <is>
          <t>ud</t>
        </is>
      </c>
      <c r="D37" s="19" t="n">
        <v>1</v>
      </c>
      <c r="E37" s="20" t="n">
        <v>7735</v>
      </c>
      <c r="F37" s="20">
        <f>D37*E37</f>
        <v/>
      </c>
    </row>
    <row r="38">
      <c r="A38" s="17" t="inlineStr">
        <is>
          <t>OPC-03</t>
        </is>
      </c>
      <c r="B38" s="18" t="inlineStr">
        <is>
          <t>OPCIONAL 3: Línea de vida permanente homologada marca LUXTOP® s/ UNE-EN 795:2012 Tipo C sobre cubierta
Suministro, replanteo, montaje y certificación oficial de sistema permanente de línea de vida horizontal continua de cable de acero inoxidable AISI 316 (Ø 8 mm) marca LUXTOP®, conforme a las normas UNE-EN 795:2012 Tipo C y CEN/TS 16415 (homologada para trabajo y rescate de hasta 4 operarios simultáneos). Instalación sobre cubierta de panel sándwich mediante postes terminales e intermedios con absorbedor de impacto dinámico patentado LuxTop®, bases de fijación estancas sobreelevadas con juntas de EPDM (evitando cualquier riesgo de filtración o puente térmico), tensor de cable con testigo micrométrico de tensión, pieza curva/esquina si procede, carros deslizadores pasantes transfronterizos sin necesidad de desconexión manual, placa de marcado identificativa CE, ensayos de tracción en obra y dossier de legalización con certificado visado.</t>
        </is>
      </c>
      <c r="C38" s="17" t="inlineStr">
        <is>
          <t>ud</t>
        </is>
      </c>
      <c r="D38" s="19" t="n">
        <v>1</v>
      </c>
      <c r="E38" s="20" t="n">
        <v>18000</v>
      </c>
      <c r="F38" s="20">
        <f>D38*E38</f>
        <v/>
      </c>
    </row>
    <row r="39">
      <c r="E39" s="29" t="inlineStr">
        <is>
          <t>Subtotal Opcionales (Base Imp.):</t>
        </is>
      </c>
      <c r="F39" s="30">
        <f>SUM(F36:F38)</f>
        <v/>
      </c>
    </row>
    <row r="40">
      <c r="E40" s="23" t="inlineStr">
        <is>
          <t>I.V.A. (21%) Opcionales:</t>
        </is>
      </c>
      <c r="F40" s="24">
        <f>F39*0.21</f>
        <v/>
      </c>
    </row>
    <row r="41">
      <c r="E41" s="31" t="inlineStr">
        <is>
          <t>TOTAL OPCIONALES (IVA incl.):</t>
        </is>
      </c>
      <c r="F41" s="32">
        <f>F39+F40</f>
        <v/>
      </c>
    </row>
    <row r="43">
      <c r="E43" s="33" t="inlineStr">
        <is>
          <t>TOTAL GENERAL CONTRATO (BASE + OPCIONALES):</t>
        </is>
      </c>
      <c r="F43" s="34">
        <f>F30+F39</f>
        <v/>
      </c>
    </row>
    <row r="44">
      <c r="E44" s="35" t="inlineStr">
        <is>
          <t>TOTAL I.V.A. CONJUNTO (21%):</t>
        </is>
      </c>
      <c r="F44" s="36">
        <f>F43*0.21</f>
        <v/>
      </c>
    </row>
    <row r="45">
      <c r="E45" s="37" t="inlineStr">
        <is>
          <t>TOTAL GENERAL FACTURA (IVA incl.):</t>
        </is>
      </c>
      <c r="F45" s="38">
        <f>F43+F44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18" customWidth="1" min="5" max="5"/>
    <col width="22" customWidth="1" min="6" max="6"/>
  </cols>
  <sheetData>
    <row r="1">
      <c r="A1" s="39" t="inlineStr">
        <is>
          <t>HAM ESTRUCTURAS METÁLICAS - ESCANDALLO DE COMPRA Y COSTES DIRECTOS INTERNOS</t>
        </is>
      </c>
    </row>
    <row r="2">
      <c r="A2" s="40" t="inlineStr">
        <is>
          <t>CONFIDENCIAL: USO INTERNO EXCLUSIVO · TARIFAS ACTUALIZADAS (01: 25€, 02/03: 135€, 04/05/06: 95€) · MEDIOS INTEGRADOS</t>
        </is>
      </c>
    </row>
    <row r="4">
      <c r="A4" s="3" t="inlineStr">
        <is>
          <t>PARÁMETROS DE COMPRA DIRECTA HAM:</t>
        </is>
      </c>
    </row>
    <row r="5">
      <c r="A5" s="3" t="inlineStr">
        <is>
          <t>Coste compra Panel Sándwich HDX55 2 caras (40 mm PIR):</t>
        </is>
      </c>
      <c r="B5" s="36" t="n">
        <v>36</v>
      </c>
      <c r="C5" s="4" t="inlineStr">
        <is>
          <t>€/m² (acopio fábrica Península)</t>
        </is>
      </c>
    </row>
    <row r="6">
      <c r="A6" s="3" t="inlineStr">
        <is>
          <t>Coste compra Panel/Chapa HDX55 Voladizos 2 caras:</t>
        </is>
      </c>
      <c r="B6" s="36" t="n">
        <v>34</v>
      </c>
      <c r="C6" s="4" t="inlineStr">
        <is>
          <t>€/m²</t>
        </is>
      </c>
    </row>
    <row r="7">
      <c r="A7" s="3" t="inlineStr">
        <is>
          <t>Coste compra Chapa grecada HDX55 falso techo / tabica:</t>
        </is>
      </c>
      <c r="B7" s="36" t="n">
        <v>20</v>
      </c>
      <c r="C7" s="4" t="inlineStr">
        <is>
          <t>€/m²</t>
        </is>
      </c>
    </row>
    <row r="8">
      <c r="A8" s="3" t="inlineStr">
        <is>
          <t>Tarifa interna mano de obra oficial montaje:</t>
        </is>
      </c>
      <c r="B8" s="36" t="n">
        <v>28</v>
      </c>
      <c r="C8" s="4" t="inlineStr">
        <is>
          <t>€/hora</t>
        </is>
      </c>
    </row>
    <row r="10">
      <c r="A10" s="3" t="inlineStr">
        <is>
          <t>DESGLOSE DE COSTES DIRECTOS DE EJECUCIÓN (CDT HAM)</t>
        </is>
      </c>
    </row>
    <row r="11">
      <c r="A11" s="41" t="inlineStr">
        <is>
          <t>Capítulo</t>
        </is>
      </c>
      <c r="B11" s="42" t="inlineStr">
        <is>
          <t>Concepto de Coste Interno</t>
        </is>
      </c>
      <c r="C11" s="41" t="inlineStr">
        <is>
          <t>Unidad</t>
        </is>
      </c>
      <c r="D11" s="41" t="inlineStr">
        <is>
          <t>Medición</t>
        </is>
      </c>
      <c r="E11" s="41" t="inlineStr">
        <is>
          <t>Coste Unit. HAM (€)</t>
        </is>
      </c>
      <c r="F11" s="41" t="inlineStr">
        <is>
          <t>Coste Total HAM (€)</t>
        </is>
      </c>
    </row>
    <row r="12">
      <c r="A12" s="17" t="inlineStr">
        <is>
          <t>MAT-01</t>
        </is>
      </c>
      <c r="B12" s="18" t="inlineStr">
        <is>
          <t>Panel sándwich 40 mm PIR con acabado HDX55 en 2 caras cubiertas (1.371 m² + 5% solapes/mermas)</t>
        </is>
      </c>
      <c r="C12" s="17" t="inlineStr">
        <is>
          <t>m²</t>
        </is>
      </c>
      <c r="D12" s="19" t="n">
        <v>1440</v>
      </c>
      <c r="E12" s="20">
        <f>B5</f>
        <v/>
      </c>
      <c r="F12" s="20">
        <f>D12*E12</f>
        <v/>
      </c>
    </row>
    <row r="13">
      <c r="A13" s="17" t="inlineStr">
        <is>
          <t>MAT-02</t>
        </is>
      </c>
      <c r="B13" s="18" t="inlineStr">
        <is>
          <t>Panel / chapa grecada acabado HDX55 en 2 caras para voladizos sup. (533 m² + 5% mermas)</t>
        </is>
      </c>
      <c r="C13" s="17" t="inlineStr">
        <is>
          <t>m²</t>
        </is>
      </c>
      <c r="D13" s="19" t="n">
        <v>560</v>
      </c>
      <c r="E13" s="20">
        <f>B6</f>
        <v/>
      </c>
      <c r="F13" s="20">
        <f>D13*E13</f>
        <v/>
      </c>
    </row>
    <row r="14">
      <c r="A14" s="17" t="inlineStr">
        <is>
          <t>MAT-03</t>
        </is>
      </c>
      <c r="B14" s="18" t="inlineStr">
        <is>
          <t>Chapa grecada acabado HDX55 en 2 caras para falso techo inferior voladizo (533,60 m² + 5%)</t>
        </is>
      </c>
      <c r="C14" s="17" t="inlineStr">
        <is>
          <t>m²</t>
        </is>
      </c>
      <c r="D14" s="19" t="n">
        <v>560</v>
      </c>
      <c r="E14" s="20">
        <f>B7</f>
        <v/>
      </c>
      <c r="F14" s="20">
        <f>D14*E14</f>
        <v/>
      </c>
    </row>
    <row r="15">
      <c r="A15" s="17" t="inlineStr">
        <is>
          <t>MAT-04</t>
        </is>
      </c>
      <c r="B15" s="18" t="inlineStr">
        <is>
          <t>Chapa grecada acabado HDX55 en 2 caras para tabica vertical de fachada (186,50 m² + 5%)</t>
        </is>
      </c>
      <c r="C15" s="17" t="inlineStr">
        <is>
          <t>m²</t>
        </is>
      </c>
      <c r="D15" s="19" t="n">
        <v>196</v>
      </c>
      <c r="E15" s="20">
        <f>B7</f>
        <v/>
      </c>
      <c r="F15" s="20">
        <f>D15*E15</f>
        <v/>
      </c>
    </row>
    <row r="16">
      <c r="A16" s="17" t="inlineStr">
        <is>
          <t>MAT-05</t>
        </is>
      </c>
      <c r="B16" s="18" t="inlineStr">
        <is>
          <t>Tornillería roscachapa de acero galvanizado con arandela EPDM, accesorios fijación y masilla butilo</t>
        </is>
      </c>
      <c r="C16" s="17" t="inlineStr">
        <is>
          <t>lote</t>
        </is>
      </c>
      <c r="D16" s="19" t="n">
        <v>1</v>
      </c>
      <c r="E16" s="20" t="n">
        <v>6400</v>
      </c>
      <c r="F16" s="20">
        <f>D16*E16</f>
        <v/>
      </c>
    </row>
    <row r="17">
      <c r="A17" s="17" t="inlineStr">
        <is>
          <t>MAT-06</t>
        </is>
      </c>
      <c r="B17" s="18" t="inlineStr">
        <is>
          <t>Rematería troquelada y plegada a medida con revestimiento HDX55 (cumbreras, petos, baberos)</t>
        </is>
      </c>
      <c r="C17" s="17" t="inlineStr">
        <is>
          <t>lote</t>
        </is>
      </c>
      <c r="D17" s="19" t="n">
        <v>1</v>
      </c>
      <c r="E17" s="20" t="n">
        <v>5800</v>
      </c>
      <c r="F17" s="20">
        <f>D17*E17</f>
        <v/>
      </c>
    </row>
    <row r="18">
      <c r="A18" s="17" t="inlineStr">
        <is>
          <t>MAT-07</t>
        </is>
      </c>
      <c r="B18" s="18" t="inlineStr">
        <is>
          <t>Imprimación epoxi anticorrosiva de alto contenido en sólidos para saneado viguetas voladizos</t>
        </is>
      </c>
      <c r="C18" s="17" t="inlineStr">
        <is>
          <t>lote</t>
        </is>
      </c>
      <c r="D18" s="19" t="n">
        <v>1</v>
      </c>
      <c r="E18" s="20" t="n">
        <v>1450</v>
      </c>
      <c r="F18" s="20">
        <f>D18*E18</f>
        <v/>
      </c>
    </row>
    <row r="19">
      <c r="A19" s="17" t="inlineStr">
        <is>
          <t>MAT-08</t>
        </is>
      </c>
      <c r="B19" s="18" t="inlineStr">
        <is>
          <t>Materiales perfiles, peldaños y cancelas en ACERO INOXIDABLE para 2 escalas con crinolina</t>
        </is>
      </c>
      <c r="C19" s="17" t="inlineStr">
        <is>
          <t>lote</t>
        </is>
      </c>
      <c r="D19" s="19" t="n">
        <v>1</v>
      </c>
      <c r="E19" s="20" t="n">
        <v>3700</v>
      </c>
      <c r="F19" s="20">
        <f>D19*E19</f>
        <v/>
      </c>
    </row>
    <row r="20">
      <c r="A20" s="17" t="inlineStr">
        <is>
          <t>MAT-09</t>
        </is>
      </c>
      <c r="B20" s="18" t="inlineStr">
        <is>
          <t>Materiales sistema línea de vida LuxTop® (cable AISI 316, postes absorbedores, tensor y carros)</t>
        </is>
      </c>
      <c r="C20" s="17" t="inlineStr">
        <is>
          <t>lote</t>
        </is>
      </c>
      <c r="D20" s="19" t="n">
        <v>1</v>
      </c>
      <c r="E20" s="20" t="n">
        <v>10300</v>
      </c>
      <c r="F20" s="20">
        <f>D20*E20</f>
        <v/>
      </c>
    </row>
    <row r="21">
      <c r="A21" s="17" t="inlineStr">
        <is>
          <t>MO-01</t>
        </is>
      </c>
      <c r="B21" s="18" t="inlineStr">
        <is>
          <t>Mano de obra especializada montaje HAM obra base (cuadrilla de 4 oficiales ~1050 h)</t>
        </is>
      </c>
      <c r="C21" s="17" t="inlineStr">
        <is>
          <t>horas</t>
        </is>
      </c>
      <c r="D21" s="19" t="n">
        <v>1050</v>
      </c>
      <c r="E21" s="20">
        <f>B8</f>
        <v/>
      </c>
      <c r="F21" s="20">
        <f>D21*E21</f>
        <v/>
      </c>
    </row>
    <row r="22">
      <c r="A22" s="17" t="inlineStr">
        <is>
          <t>MO-02</t>
        </is>
      </c>
      <c r="B22" s="18" t="inlineStr">
        <is>
          <t>Mano de obra taller y montaje 2 escalas inox + instalación/ensayo línea LuxTop (~100 h)</t>
        </is>
      </c>
      <c r="C22" s="17" t="inlineStr">
        <is>
          <t>horas</t>
        </is>
      </c>
      <c r="D22" s="19" t="n">
        <v>100</v>
      </c>
      <c r="E22" s="20">
        <f>B8</f>
        <v/>
      </c>
      <c r="F22" s="20">
        <f>D22*E22</f>
        <v/>
      </c>
    </row>
    <row r="23">
      <c r="A23" s="17" t="inlineStr">
        <is>
          <t>LOG-01</t>
        </is>
      </c>
      <c r="B23" s="18" t="inlineStr">
        <is>
          <t>Fletes marítimos Península-Menorca para transporte de trailers especiales paneles gran formato</t>
        </is>
      </c>
      <c r="C23" s="17" t="inlineStr">
        <is>
          <t>lote</t>
        </is>
      </c>
      <c r="D23" s="19" t="n">
        <v>1</v>
      </c>
      <c r="E23" s="20" t="n">
        <v>5600</v>
      </c>
      <c r="F23" s="20">
        <f>D23*E23</f>
        <v/>
      </c>
    </row>
    <row r="24">
      <c r="A24" s="17" t="inlineStr">
        <is>
          <t>LOG-02</t>
        </is>
      </c>
      <c r="B24" s="18" t="inlineStr">
        <is>
          <t>Camión grúa pluma autopropulsada para descarga e izado distribuido sobre pórticos</t>
        </is>
      </c>
      <c r="C24" s="17" t="inlineStr">
        <is>
          <t>lote</t>
        </is>
      </c>
      <c r="D24" s="19" t="n">
        <v>1</v>
      </c>
      <c r="E24" s="20" t="n">
        <v>4600</v>
      </c>
      <c r="F24" s="20">
        <f>D24*E24</f>
        <v/>
      </c>
    </row>
    <row r="25">
      <c r="A25" s="17" t="inlineStr">
        <is>
          <t>LOG-03</t>
        </is>
      </c>
      <c r="B25" s="18" t="inlineStr">
        <is>
          <t>Alquiler de 2 plataformas elevadoras móviles de personal (PEMP) articuladas para montaje</t>
        </is>
      </c>
      <c r="C25" s="17" t="inlineStr">
        <is>
          <t>lote</t>
        </is>
      </c>
      <c r="D25" s="19" t="n">
        <v>1</v>
      </c>
      <c r="E25" s="20" t="n">
        <v>4800</v>
      </c>
      <c r="F25" s="20">
        <f>D25*E25</f>
        <v/>
      </c>
    </row>
    <row r="26">
      <c r="A26" s="17" t="inlineStr">
        <is>
          <t>PRL-01</t>
        </is>
      </c>
      <c r="B26" s="18" t="inlineStr">
        <is>
          <t>Protecciones colectivas: redes anticaídas bajo faldones UNE-EN 1263-1 y líneas de vida EN 795</t>
        </is>
      </c>
      <c r="C26" s="17" t="inlineStr">
        <is>
          <t>lote</t>
        </is>
      </c>
      <c r="D26" s="19" t="n">
        <v>1</v>
      </c>
      <c r="E26" s="20" t="n">
        <v>3800</v>
      </c>
      <c r="F26" s="20">
        <f>D26*E26</f>
        <v/>
      </c>
    </row>
    <row r="27">
      <c r="A27" s="17" t="inlineStr">
        <is>
          <t>PRL-02</t>
        </is>
      </c>
      <c r="B27" s="18" t="inlineStr">
        <is>
          <t>Canon de vertedero insular y tasas de centro de reciclaje autorizado de Menorca</t>
        </is>
      </c>
      <c r="C27" s="17" t="inlineStr">
        <is>
          <t>lote</t>
        </is>
      </c>
      <c r="D27" s="19" t="n">
        <v>1</v>
      </c>
      <c r="E27" s="20" t="n">
        <v>2400</v>
      </c>
      <c r="F27" s="20">
        <f>D27*E27</f>
        <v/>
      </c>
    </row>
    <row r="28">
      <c r="E28" s="43" t="inlineStr">
        <is>
          <t>COSTE DIRECTO TOTAL GLOBAL (CDT HAM):</t>
        </is>
      </c>
      <c r="F28" s="44">
        <f>SUM(F12:F27)</f>
        <v/>
      </c>
    </row>
    <row r="30">
      <c r="A30" s="3" t="inlineStr">
        <is>
          <t>CUADRO DE RENTABILIDAD Y BENEFICIO COMERCIAL</t>
        </is>
      </c>
    </row>
    <row r="31">
      <c r="A31" s="45" t="inlineStr">
        <is>
          <t>Concepto Económico</t>
        </is>
      </c>
      <c r="B31" s="45" t="inlineStr">
        <is>
          <t>Obra Base (€)</t>
        </is>
      </c>
      <c r="C31" s="45" t="inlineStr">
        <is>
          <t>Opcionales (€)</t>
        </is>
      </c>
      <c r="D31" s="45" t="inlineStr">
        <is>
          <t>Total Global (€)</t>
        </is>
      </c>
      <c r="E31" s="45" t="inlineStr">
        <is>
          <t>% Margen Global</t>
        </is>
      </c>
    </row>
    <row r="32">
      <c r="A32" s="46" t="inlineStr">
        <is>
          <t>Precio de Venta al Cliente (Base Imp.):</t>
        </is>
      </c>
      <c r="B32" s="47" t="n">
        <v>394382</v>
      </c>
      <c r="C32" s="47" t="n">
        <v>30740</v>
      </c>
      <c r="D32" s="47">
        <f>B32+C32</f>
        <v/>
      </c>
      <c r="E32" s="48" t="inlineStr">
        <is>
          <t>100.00%</t>
        </is>
      </c>
    </row>
    <row r="33">
      <c r="A33" s="46" t="inlineStr">
        <is>
          <t>Coste Directo Total HAM:</t>
        </is>
      </c>
      <c r="B33" s="47" t="n">
        <v>150250</v>
      </c>
      <c r="C33" s="47" t="n">
        <v>16800</v>
      </c>
      <c r="D33" s="47">
        <f>B33+C33</f>
        <v/>
      </c>
      <c r="E33" s="48">
        <f>D33/D32</f>
        <v/>
      </c>
    </row>
    <row r="34">
      <c r="A34" s="49" t="inlineStr">
        <is>
          <t>Margen Bruto de Explotación HAM:</t>
        </is>
      </c>
      <c r="B34" s="50">
        <f>B32-B33</f>
        <v/>
      </c>
      <c r="C34" s="50">
        <f>C32-C33</f>
        <v/>
      </c>
      <c r="D34" s="50">
        <f>D32-D33</f>
        <v/>
      </c>
      <c r="E34" s="51">
        <f>D34/D32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2026-10-28T09:36:37Z</dcterms:created>
  <dcterms:modified xmlns:dcterms="http://purl.org/dc/terms/" xmlns:xsi="http://www.w3.org/2001/XMLSchema-instance" xsi:type="dcterms:W3CDTF">2026-10-28T09:36:37Z</dcterms:modified>
</cp:coreProperties>
</file>