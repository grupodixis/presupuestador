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2026-0046 Cubo Inox Blan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b val="1"/>
      <color rgb="000284C7"/>
      <sz val="11"/>
    </font>
    <font>
      <name val="Segoe UI"/>
      <b val="1"/>
      <sz val="9.5"/>
    </font>
    <font>
      <name val="Segoe UI"/>
      <sz val="9.5"/>
    </font>
    <font>
      <name val="Segoe U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0F2FE"/>
        <bgColor rgb="00E0F2FE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4" fontId="4" fillId="0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HAM ESTRUCTURAS METÁLICAS MENORCA</t>
        </is>
      </c>
    </row>
    <row r="2">
      <c r="A2" s="2" t="inlineStr">
        <is>
          <t>PRESUPUESTO TÉCNICO Y VALORACIÓN ECONÓMICA: P-2026-0046 (REV. 3)</t>
        </is>
      </c>
    </row>
    <row r="4">
      <c r="A4" s="3" t="inlineStr">
        <is>
          <t>Cliente:</t>
        </is>
      </c>
      <c r="B4" s="4" t="inlineStr">
        <is>
          <t>Teresa Echezarreta Codina</t>
        </is>
      </c>
    </row>
    <row r="5">
      <c r="A5" s="3" t="inlineStr">
        <is>
          <t>Ubicación:</t>
        </is>
      </c>
      <c r="B5" s="4" t="inlineStr">
        <is>
          <t>c/ Llaut 59, Urb. Binibeca Vell, Sant Lluís, Menorca</t>
        </is>
      </c>
    </row>
    <row r="6">
      <c r="A6" s="3" t="inlineStr">
        <is>
          <t>Proyecto / Arq.:</t>
        </is>
      </c>
      <c r="B6" s="4" t="inlineStr">
        <is>
          <t>Cristina Moll Taltavull · Expte: 2024 13_MOD (Reforma Unifamiliar con Piscina)</t>
        </is>
      </c>
    </row>
    <row r="7">
      <c r="A7" s="3" t="inlineStr">
        <is>
          <t>Fecha y Validez:</t>
        </is>
      </c>
      <c r="B7" s="4" t="inlineStr">
        <is>
          <t>30/10/2026 · Validez 30 días</t>
        </is>
      </c>
    </row>
    <row r="8">
      <c r="A8" s="3" t="inlineStr">
        <is>
          <t>Concepto:</t>
        </is>
      </c>
      <c r="B8" s="4" t="inlineStr">
        <is>
          <t>Estructura cúbica minimalista en tubo de Acero Inoxidable 40x40x2 mm lacado blanco, fijada sobre zapatas ejecutadas por constructor</t>
        </is>
      </c>
    </row>
    <row r="10">
      <c r="A10" s="5" t="inlineStr">
        <is>
          <t>PARÁMETROS TÉCNICOS</t>
        </is>
      </c>
      <c r="B10" s="6" t="inlineStr">
        <is>
          <t>Medidas: 4,00 x 3,00 x 2,50 m (12 m²) | Geometría cúbica ortoédrica | Tubo cuadrado de Acero Inoxidable 40x40x2 mm | Soldadura TIG pulida | Termolacado al horno en Blanco exterior (RAL 9010/9016) | Obra civil y zapatas a cargo del constructor | Transporte y montaje de estructura fijada sobre puntos de obra</t>
        </is>
      </c>
    </row>
    <row r="12">
      <c r="A12" s="7" t="inlineStr">
        <is>
          <t>Partida</t>
        </is>
      </c>
      <c r="B12" s="8" t="inlineStr">
        <is>
          <t>Concepto y Descripción Técnica</t>
        </is>
      </c>
      <c r="C12" s="7" t="inlineStr">
        <is>
          <t>Unidad</t>
        </is>
      </c>
      <c r="D12" s="7" t="inlineStr">
        <is>
          <t>Cantidad</t>
        </is>
      </c>
      <c r="E12" s="7" t="inlineStr">
        <is>
          <t>Precio Unitario (€)</t>
        </is>
      </c>
      <c r="F12" s="7" t="inlineStr">
        <is>
          <t>Importe (€)</t>
        </is>
      </c>
    </row>
    <row r="13">
      <c r="A13" s="9" t="inlineStr">
        <is>
          <t>01</t>
        </is>
      </c>
      <c r="B13" s="10" t="inlineStr">
        <is>
          <t>Replanteo técnico in situ, nivelación y desarrollo de planos de taller: visita a la obra en Binibeca Vell para comprobación de cotas y coordinación de apoyos con el constructor previa ejecución de zapatas/solera, y elaboración de planos de taller</t>
        </is>
      </c>
      <c r="C13" s="9" t="inlineStr">
        <is>
          <t>lote</t>
        </is>
      </c>
      <c r="D13" s="11" t="n">
        <v>1</v>
      </c>
      <c r="E13" s="12" t="n">
        <v>320</v>
      </c>
      <c r="F13" s="12">
        <f>D13*E13</f>
        <v/>
      </c>
    </row>
    <row r="14">
      <c r="A14" s="9" t="inlineStr">
        <is>
          <t>02</t>
        </is>
      </c>
      <c r="B14" s="10" t="inlineStr">
        <is>
          <t>Fabricación en taller de estructura cúbica en tubo de Acero Inoxidable 40x40x2 mm: 4 pilares verticales de 2,50 m, marco perimetral superior (2 vigas de 4 m + 2 vigas de 3 m) y costillas intermedias superiores transversales de rigidización. Cortes ingleteados a 45º, soldadura continua TIG en atmósfera inerte de argón y aristas esmeriladas para acabado monolítico</t>
        </is>
      </c>
      <c r="C14" s="9" t="inlineStr">
        <is>
          <t>lote</t>
        </is>
      </c>
      <c r="D14" s="11" t="n">
        <v>1</v>
      </c>
      <c r="E14" s="12" t="n">
        <v>2150</v>
      </c>
      <c r="F14" s="12">
        <f>D14*E14</f>
        <v/>
      </c>
    </row>
    <row r="15">
      <c r="A15" s="9" t="inlineStr">
        <is>
          <t>03</t>
        </is>
      </c>
      <c r="B15" s="10" t="inlineStr">
        <is>
          <t>Tratamiento superficial de termolacado al horno en Blanco Exterior: desengrasado, acondicionamiento superficial para acero inoxidable, imprimación de adherencia técnica y termolacado al horno con pintura en polvo de resinas de poliéster arquitectónico (Blanco RAL 9010/9016) resistente a radiación UV y salinidad marina</t>
        </is>
      </c>
      <c r="C15" s="9" t="inlineStr">
        <is>
          <t>lote</t>
        </is>
      </c>
      <c r="D15" s="11" t="n">
        <v>1</v>
      </c>
      <c r="E15" s="12" t="n">
        <v>680</v>
      </c>
      <c r="F15" s="12">
        <f>D15*E15</f>
        <v/>
      </c>
    </row>
    <row r="16">
      <c r="A16" s="9" t="inlineStr">
        <is>
          <t>04</t>
        </is>
      </c>
      <c r="B16" s="10" t="inlineStr">
        <is>
          <t>Transporte a Binibeca Vell y montaje de estructura sobre puntos preparados: transporte especializado a obra, descarga, elevación de módulos, aplomado y fijación estructural sobre los puntos/zapatas ejecutados por el constructor, verificación de niveles, repaso de lacado y retirada de embalajes</t>
        </is>
      </c>
      <c r="C16" s="9" t="inlineStr">
        <is>
          <t>lote</t>
        </is>
      </c>
      <c r="D16" s="11" t="n">
        <v>1</v>
      </c>
      <c r="E16" s="12" t="n">
        <v>980</v>
      </c>
      <c r="F16" s="12">
        <f>D16*E16</f>
        <v/>
      </c>
    </row>
    <row r="18">
      <c r="E18" s="3" t="inlineStr">
        <is>
          <t>Base Imponible:</t>
        </is>
      </c>
      <c r="F18" s="13">
        <f>SUM(F13:F16)</f>
        <v/>
      </c>
    </row>
    <row r="19">
      <c r="E19" s="4" t="inlineStr">
        <is>
          <t>IVA (21%):</t>
        </is>
      </c>
      <c r="F19" s="14">
        <f>F18*0.21</f>
        <v/>
      </c>
    </row>
    <row r="20">
      <c r="E20" s="2" t="inlineStr">
        <is>
          <t>TOTAL PRESUPUESTO:</t>
        </is>
      </c>
      <c r="F20" s="15">
        <f>F18+F19</f>
        <v/>
      </c>
    </row>
    <row r="22">
      <c r="B22" s="3" t="inlineStr">
        <is>
          <t>VARIANTE ALTERNATIVA: Estructura Cúbica 4,00 x 2,00 m (8,00 m²)</t>
        </is>
      </c>
      <c r="E22" s="4" t="inlineStr">
        <is>
          <t>Base Imponible:</t>
        </is>
      </c>
      <c r="F22" s="13" t="n">
        <v>3500</v>
      </c>
    </row>
    <row r="23">
      <c r="E23" s="4" t="inlineStr">
        <is>
          <t>Total con IVA (21%):</t>
        </is>
      </c>
      <c r="F23" s="13" t="n">
        <v>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2026-10-30T07:19:41Z</dcterms:created>
  <dcterms:modified xmlns:dcterms="http://purl.org/dc/terms/" xmlns:xsi="http://www.w3.org/2001/XMLSchema-instance" xsi:type="dcterms:W3CDTF">2026-10-30T07:19:41Z</dcterms:modified>
</cp:coreProperties>
</file>