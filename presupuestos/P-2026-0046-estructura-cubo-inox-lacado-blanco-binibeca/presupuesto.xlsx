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-2026-0046 Cubo Inox Blan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Segoe UI"/>
      <b val="1"/>
      <color rgb="000F172A"/>
      <sz val="15"/>
    </font>
    <font>
      <name val="Segoe UI"/>
      <b val="1"/>
      <color rgb="000284C7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164" fontId="3" fillId="0" borderId="0" pivotButton="0" quotePrefix="0" xfId="0"/>
    <xf numFmtId="164" fontId="4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62" customWidth="1" min="2" max="2"/>
    <col width="10" customWidth="1" min="3" max="3"/>
    <col width="12" customWidth="1" min="4" max="4"/>
    <col width="18" customWidth="1" min="5" max="5"/>
    <col width="18" customWidth="1" min="6" max="6"/>
  </cols>
  <sheetData>
    <row r="1">
      <c r="A1" s="1" t="inlineStr">
        <is>
          <t>HAM ESTRUCTURAS METÁLICAS MENORCA</t>
        </is>
      </c>
    </row>
    <row r="2">
      <c r="A2" s="2" t="inlineStr">
        <is>
          <t>PRESUPUESTO TÉCNICO Y VALORACIÓN ECONÓMICA: P-2026-0046 (REV. 2)</t>
        </is>
      </c>
    </row>
    <row r="4">
      <c r="A4" s="3" t="inlineStr">
        <is>
          <t>Cliente:</t>
        </is>
      </c>
      <c r="B4" s="4" t="inlineStr">
        <is>
          <t>Teresa Echezarreta Codina</t>
        </is>
      </c>
    </row>
    <row r="5">
      <c r="A5" s="3" t="inlineStr">
        <is>
          <t>Ubicación:</t>
        </is>
      </c>
      <c r="B5" s="4" t="inlineStr">
        <is>
          <t>c/ Llaut 59, Urb. Binibeca Vell, Sant Lluís, Menorca</t>
        </is>
      </c>
    </row>
    <row r="6">
      <c r="A6" s="3" t="inlineStr">
        <is>
          <t>Proyecto / Arq.:</t>
        </is>
      </c>
      <c r="B6" s="4" t="inlineStr">
        <is>
          <t>Cristina Moll Taltavull · Expte: 2024 13_MOD (Reforma Unifamiliar con Piscina)</t>
        </is>
      </c>
    </row>
    <row r="7">
      <c r="A7" s="3" t="inlineStr">
        <is>
          <t>Fecha y Validez:</t>
        </is>
      </c>
      <c r="B7" s="4" t="inlineStr">
        <is>
          <t>29/10/2026 · Validez 30 días</t>
        </is>
      </c>
    </row>
    <row r="8">
      <c r="A8" s="3" t="inlineStr">
        <is>
          <t>Concepto:</t>
        </is>
      </c>
      <c r="B8" s="4" t="inlineStr">
        <is>
          <t>Estructura cúbica minimalista en tubo de Acero Inoxidable 40x40x2 mm lacado blanco, amurada al piso sin pernos vistos</t>
        </is>
      </c>
    </row>
    <row r="10">
      <c r="A10" s="5" t="inlineStr">
        <is>
          <t>PARÁMETROS TÉCNICOS</t>
        </is>
      </c>
      <c r="B10" s="6" t="inlineStr">
        <is>
          <t>Medidas: 4,00 x 3,00 x 2,50 m (12 m²) | Geometría cúbica ortoédrica | Tubo cuadrado de Acero Inoxidable 40x40x2 mm | Soldadura TIG pulida | Termolacado al horno en Blanco exterior (RAL 9010/9016) | Fijación amurada al piso mediante espigas macizas inox y anclaje químico (cero pernos salientes para caminar descalzo) | Costillas superiores y red tensada Inox AISI 316 para trepadoras</t>
        </is>
      </c>
    </row>
    <row r="12">
      <c r="A12" s="7" t="inlineStr">
        <is>
          <t>Partida</t>
        </is>
      </c>
      <c r="B12" s="8" t="inlineStr">
        <is>
          <t>Concepto y Descripción Técnica</t>
        </is>
      </c>
      <c r="C12" s="7" t="inlineStr">
        <is>
          <t>Unidad</t>
        </is>
      </c>
      <c r="D12" s="7" t="inlineStr">
        <is>
          <t>Cantidad</t>
        </is>
      </c>
      <c r="E12" s="7" t="inlineStr">
        <is>
          <t>Precio Unitario (€)</t>
        </is>
      </c>
      <c r="F12" s="7" t="inlineStr">
        <is>
          <t>Importe (€)</t>
        </is>
      </c>
    </row>
    <row r="13">
      <c r="A13" s="9" t="inlineStr">
        <is>
          <t>01</t>
        </is>
      </c>
      <c r="B13" s="10" t="inlineStr">
        <is>
          <t>Replanteo técnico in situ, nivelación y desarrollo de planos de taller: visita a Binibeca Vell para replanteo con D.F. y albañilería; cotas de solera e=10cm y cota cero porcelánico C3</t>
        </is>
      </c>
      <c r="C13" s="9" t="inlineStr">
        <is>
          <t>lote</t>
        </is>
      </c>
      <c r="D13" s="11" t="n">
        <v>1</v>
      </c>
      <c r="E13" s="12" t="n">
        <v>320</v>
      </c>
      <c r="F13" s="12">
        <f>D13*E13</f>
        <v/>
      </c>
    </row>
    <row r="14">
      <c r="A14" s="9" t="inlineStr">
        <is>
          <t>02</t>
        </is>
      </c>
      <c r="B14" s="10" t="inlineStr">
        <is>
          <t>Sistema de fijación oculta amurada al piso 'Pies Descalzos' (Fase 1 previa a solado): 4 espigas macizas inox Ø25 mm, vainas cilíndricas empotrables e inyección química de resina epoxi Fischer (superficie 100% enrasada bajo porcelánico C3, cero pernos salientes)</t>
        </is>
      </c>
      <c r="C14" s="9" t="inlineStr">
        <is>
          <t>lote</t>
        </is>
      </c>
      <c r="D14" s="11" t="n">
        <v>1</v>
      </c>
      <c r="E14" s="12" t="n">
        <v>420</v>
      </c>
      <c r="F14" s="12">
        <f>D14*E14</f>
        <v/>
      </c>
    </row>
    <row r="15">
      <c r="A15" s="9" t="inlineStr">
        <is>
          <t>03</t>
        </is>
      </c>
      <c r="B15" s="10" t="inlineStr">
        <is>
          <t>Fabricación en taller de estructura cúbica en tubo de Acero Inoxidable 40x40x2 mm: 4 pilares h=2,50 m, marco perimetral superior (2 vigas 4m + 2 vigas 3m) y 4 costillas intermedias superiores transversales cada 80 cm. Cortes ingleteados 45º, soldadura continua TIG en argón y aristas esmeriladas</t>
        </is>
      </c>
      <c r="C15" s="9" t="inlineStr">
        <is>
          <t>lote</t>
        </is>
      </c>
      <c r="D15" s="11" t="n">
        <v>1</v>
      </c>
      <c r="E15" s="12" t="n">
        <v>2150</v>
      </c>
      <c r="F15" s="12">
        <f>D15*E15</f>
        <v/>
      </c>
    </row>
    <row r="16">
      <c r="A16" s="9" t="inlineStr">
        <is>
          <t>04</t>
        </is>
      </c>
      <c r="B16" s="10" t="inlineStr">
        <is>
          <t>Tratamiento superficial de termolacado al horno en Blanco Exterior: desengrasado, acondicionamiento superficial para inox, imprimación de adherencia y aplicación termolacada al horno con polvo poliéster arquitectónico (Blanco RAL 9010/9016) resistente a intemperie marina y UV</t>
        </is>
      </c>
      <c r="C16" s="9" t="inlineStr">
        <is>
          <t>lote</t>
        </is>
      </c>
      <c r="D16" s="11" t="n">
        <v>1</v>
      </c>
      <c r="E16" s="12" t="n">
        <v>680</v>
      </c>
      <c r="F16" s="12">
        <f>D16*E16</f>
        <v/>
      </c>
    </row>
    <row r="17">
      <c r="A17" s="9" t="inlineStr">
        <is>
          <t>05</t>
        </is>
      </c>
      <c r="B17" s="10" t="inlineStr">
        <is>
          <t>Entramado tensor de cables de acero inoxidable AISI 316 para trepadoras: retícula de cables 1x19 Ø3-4mm tensados entre las costillas de tubo 40x40 con tensores de botella náuticos A4 para soporte vegetal y resistencia al viento</t>
        </is>
      </c>
      <c r="C17" s="9" t="inlineStr">
        <is>
          <t>lote</t>
        </is>
      </c>
      <c r="D17" s="11" t="n">
        <v>1</v>
      </c>
      <c r="E17" s="12" t="n">
        <v>390</v>
      </c>
      <c r="F17" s="12">
        <f>D17*E17</f>
        <v/>
      </c>
    </row>
    <row r="18">
      <c r="A18" s="9" t="inlineStr">
        <is>
          <t>06</t>
        </is>
      </c>
      <c r="B18" s="10" t="inlineStr">
        <is>
          <t>Transporte especializado a Binibeca Vell y montaje integral: entrega de vainas/esperas en Fase 1 y montaje completo de estructura modular en Fase 2, aplomado, inyección química al piso y limpieza final</t>
        </is>
      </c>
      <c r="C18" s="9" t="inlineStr">
        <is>
          <t>lote</t>
        </is>
      </c>
      <c r="D18" s="11" t="n">
        <v>1</v>
      </c>
      <c r="E18" s="12" t="n">
        <v>980</v>
      </c>
      <c r="F18" s="12">
        <f>D18*E18</f>
        <v/>
      </c>
    </row>
    <row r="20">
      <c r="E20" s="3" t="inlineStr">
        <is>
          <t>Base Imponible:</t>
        </is>
      </c>
      <c r="F20" s="13">
        <f>SUM(F13:F18)</f>
        <v/>
      </c>
    </row>
    <row r="21">
      <c r="E21" s="4" t="inlineStr">
        <is>
          <t>IVA (21%):</t>
        </is>
      </c>
      <c r="F21" s="14">
        <f>F20*0.21</f>
        <v/>
      </c>
    </row>
    <row r="22">
      <c r="E22" s="2" t="inlineStr">
        <is>
          <t>TOTAL PRESUPUESTO:</t>
        </is>
      </c>
      <c r="F22" s="15">
        <f>F20+F21</f>
        <v/>
      </c>
    </row>
    <row r="24">
      <c r="B24" s="3" t="inlineStr">
        <is>
          <t>VARIANTE ALTERNATIVA: Estructura Cúbica 4,00 x 2,00 m (8,00 m²)</t>
        </is>
      </c>
      <c r="E24" s="4" t="inlineStr">
        <is>
          <t>Base Imponible:</t>
        </is>
      </c>
      <c r="F24" s="13" t="n">
        <v>4180</v>
      </c>
    </row>
    <row r="25">
      <c r="E25" s="4" t="inlineStr">
        <is>
          <t>Total con IVA (21%):</t>
        </is>
      </c>
      <c r="F25" s="13" t="n">
        <v>5057.8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2026-10-29T14:31:39Z</dcterms:created>
  <dcterms:modified xmlns:dcterms="http://purl.org/dc/terms/" xmlns:xsi="http://www.w3.org/2001/XMLSchema-instance" xsi:type="dcterms:W3CDTF">2026-10-29T14:31:39Z</dcterms:modified>
</cp:coreProperties>
</file>