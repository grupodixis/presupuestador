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2026-0042 Escalera Gal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0284C7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284C7"/>
      <sz val="12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6" fillId="0" borderId="2" applyAlignment="1" pivotButton="0" quotePrefix="0" xfId="0">
      <alignment horizontal="right"/>
    </xf>
    <xf numFmtId="16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10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HAM ESTRUCTURAS METÁLICAS</t>
        </is>
      </c>
    </row>
    <row r="2">
      <c r="A2" s="2" t="inlineStr">
        <is>
          <t>PRESUPUESTO TÉCNICO Y ECONÓMICO: P-2026-0042</t>
        </is>
      </c>
    </row>
    <row r="4">
      <c r="A4" s="3" t="inlineStr">
        <is>
          <t>Cliente:</t>
        </is>
      </c>
      <c r="B4" s="4" t="inlineStr">
        <is>
          <t>Comunidad de Propietarios / Dirección Técnica de Infraestructuras</t>
        </is>
      </c>
    </row>
    <row r="5">
      <c r="A5" s="3" t="inlineStr">
        <is>
          <t>Ubicación:</t>
        </is>
      </c>
      <c r="B5" s="4" t="inlineStr">
        <is>
          <t>Cámara subterránea / Pozo técnico de registro bajo calzada - Menorca</t>
        </is>
      </c>
    </row>
    <row r="6">
      <c r="A6" s="3" t="inlineStr">
        <is>
          <t>Fecha:</t>
        </is>
      </c>
      <c r="B6" s="4" t="inlineStr">
        <is>
          <t>23/10/2026</t>
        </is>
      </c>
    </row>
    <row r="7">
      <c r="A7" s="3" t="inlineStr">
        <is>
          <t>Concepto:</t>
        </is>
      </c>
      <c r="B7" s="4" t="inlineStr">
        <is>
          <t>Sustitución de escalera de servicio en acero galvanizado en caliente y peldaños de tramex (H = 5,73 m)</t>
        </is>
      </c>
    </row>
    <row r="9">
      <c r="A9" s="5" t="inlineStr">
        <is>
          <t>PARÁMETROS TÉCNICOS</t>
        </is>
      </c>
      <c r="B9" s="6" t="inlineStr">
        <is>
          <t>Desnivel total: 5,73 m | Desarrollo en planta: 3,48 m | Boca acceso: 161 x 53 cm | 2 tramos + 1 descansillo | 26 peldaños Tramex</t>
        </is>
      </c>
    </row>
    <row r="11">
      <c r="A11" s="7" t="inlineStr">
        <is>
          <t>Partida</t>
        </is>
      </c>
      <c r="B11" s="8" t="inlineStr">
        <is>
          <t>Concepto y Descripción Técnica</t>
        </is>
      </c>
      <c r="C11" s="7" t="inlineStr">
        <is>
          <t>Unidad</t>
        </is>
      </c>
      <c r="D11" s="7" t="inlineStr">
        <is>
          <t>Cantidad</t>
        </is>
      </c>
      <c r="E11" s="7" t="inlineStr">
        <is>
          <t>Precio Unitario (€)</t>
        </is>
      </c>
      <c r="F11" s="7" t="inlineStr">
        <is>
          <t>Importe (€)</t>
        </is>
      </c>
    </row>
    <row r="12">
      <c r="A12" s="9" t="inlineStr">
        <is>
          <t>01</t>
        </is>
      </c>
      <c r="B12" s="10" t="inlineStr">
        <is>
          <t>Desmontaje, oxicorte y retirada de escalera existente degradada (incl. izado por boca superior 161x53 cm, gestión autorizada y seguridad espacio confinado)</t>
        </is>
      </c>
      <c r="C12" s="9" t="inlineStr">
        <is>
          <t>lote</t>
        </is>
      </c>
      <c r="D12" s="11" t="n">
        <v>1</v>
      </c>
      <c r="E12" s="12" t="n">
        <v>1450</v>
      </c>
      <c r="F12" s="12">
        <f>D12*E12</f>
        <v/>
      </c>
    </row>
    <row r="13">
      <c r="A13" s="9" t="inlineStr">
        <is>
          <t>02</t>
        </is>
      </c>
      <c r="B13" s="10" t="inlineStr">
        <is>
          <t>Fabricación en taller de estructura portante, zancas y descansillo en acero S275JR (4 zancas UPN 140, cartelas soldadas, pilares 80x80x4, barandillas con rodapié s/ UNE-EN ISO 14122-3)</t>
        </is>
      </c>
      <c r="C13" s="9" t="inlineStr">
        <is>
          <t>lote</t>
        </is>
      </c>
      <c r="D13" s="11" t="n">
        <v>1</v>
      </c>
      <c r="E13" s="12" t="n">
        <v>3650</v>
      </c>
      <c r="F13" s="12">
        <f>D13*E13</f>
        <v/>
      </c>
    </row>
    <row r="14">
      <c r="A14" s="9" t="inlineStr">
        <is>
          <t>03</t>
        </is>
      </c>
      <c r="B14" s="10" t="inlineStr">
        <is>
          <t>Tratamiento anticorrosivo de Galvanizado en Caliente por inmersión según UNE-EN ISO 1461 (70-85 µm) frente a ambiente húmedo C4/C5, portes taller-galvanizadora incluidos</t>
        </is>
      </c>
      <c r="C14" s="9" t="inlineStr">
        <is>
          <t>lote</t>
        </is>
      </c>
      <c r="D14" s="11" t="n">
        <v>1</v>
      </c>
      <c r="E14" s="12" t="n">
        <v>1280</v>
      </c>
      <c r="F14" s="12">
        <f>D14*E14</f>
        <v/>
      </c>
    </row>
    <row r="15">
      <c r="A15" s="9" t="inlineStr">
        <is>
          <t>04</t>
        </is>
      </c>
      <c r="B15" s="10" t="inlineStr">
        <is>
          <t>Peldaños normalizados y meseta en rejilla electrofundida Tramex galvanizada (26 peldaños con cantonera perforada antideslizante, meseta 140x70 cm y tornillería cincada/Inox A4)</t>
        </is>
      </c>
      <c r="C15" s="9" t="inlineStr">
        <is>
          <t>lote</t>
        </is>
      </c>
      <c r="D15" s="11" t="n">
        <v>1</v>
      </c>
      <c r="E15" s="12" t="n">
        <v>2180</v>
      </c>
      <c r="F15" s="12">
        <f>D15*E15</f>
        <v/>
      </c>
    </row>
    <row r="16">
      <c r="A16" s="9" t="inlineStr">
        <is>
          <t>05</t>
        </is>
      </c>
      <c r="B16" s="10" t="inlineStr">
        <is>
          <t>Transporte a obra, maniobras con camión grúa pluma en vía pública para descenso vertical por trampilla de 161x53 cm e instalación técnica con anclajes químicos Inox A4</t>
        </is>
      </c>
      <c r="C16" s="9" t="inlineStr">
        <is>
          <t>lote</t>
        </is>
      </c>
      <c r="D16" s="11" t="n">
        <v>1</v>
      </c>
      <c r="E16" s="12" t="n">
        <v>2650</v>
      </c>
      <c r="F16" s="12">
        <f>D16*E16</f>
        <v/>
      </c>
    </row>
    <row r="18">
      <c r="E18" s="13" t="inlineStr">
        <is>
          <t>Base Imponible:</t>
        </is>
      </c>
      <c r="F18" s="14">
        <f>SUM(F12:F16)</f>
        <v/>
      </c>
    </row>
    <row r="19">
      <c r="E19" s="13" t="inlineStr">
        <is>
          <t>I.V.A. (21%):</t>
        </is>
      </c>
      <c r="F19" s="14">
        <f>F18*0.21</f>
        <v/>
      </c>
    </row>
    <row r="20">
      <c r="E20" s="15" t="inlineStr">
        <is>
          <t>TOTAL PRESUPUESTO:</t>
        </is>
      </c>
      <c r="F20" s="16">
        <f>F18+F19</f>
        <v/>
      </c>
    </row>
    <row r="22">
      <c r="A22" s="3" t="inlineStr">
        <is>
          <t>CONDICIONES COMERCIALES Y GARANTÍAS</t>
        </is>
      </c>
    </row>
    <row r="23">
      <c r="A23" s="3" t="inlineStr">
        <is>
          <t>• Forma de pago:</t>
        </is>
      </c>
      <c r="B23" s="4" t="inlineStr">
        <is>
          <t>40% a la confirmación del encargo, 30% a la salida a planta galvanizadora y 30% a la recepción conforme en obra</t>
        </is>
      </c>
    </row>
    <row r="24">
      <c r="A24" s="3" t="inlineStr">
        <is>
          <t>• Garantía:</t>
        </is>
      </c>
      <c r="B24" s="4" t="inlineStr">
        <is>
          <t>5 años en recubrimiento galvanizado según UNE-EN ISO 1461 y 2 años en estructura y montaje</t>
        </is>
      </c>
    </row>
    <row r="25">
      <c r="A25" s="3" t="inlineStr">
        <is>
          <t>• Plazo de entrega:</t>
        </is>
      </c>
      <c r="B25" s="4" t="inlineStr">
        <is>
          <t>3 a 4 semanas para taller y galvanizado; 2 a 3 días laborables para montaje en obra</t>
        </is>
      </c>
    </row>
    <row r="26">
      <c r="A26" s="3" t="inlineStr">
        <is>
          <t>• Validez:</t>
        </is>
      </c>
      <c r="B26" s="4" t="inlineStr">
        <is>
          <t>30 días naturales desde la fecha de emisión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2026-10-23T14:36:36Z</dcterms:created>
  <dcterms:modified xmlns:dcterms="http://purl.org/dc/terms/" xmlns:xsi="http://www.w3.org/2001/XMLSchema-instance" xsi:type="dcterms:W3CDTF">2026-10-23T14:36:36Z</dcterms:modified>
</cp:coreProperties>
</file>