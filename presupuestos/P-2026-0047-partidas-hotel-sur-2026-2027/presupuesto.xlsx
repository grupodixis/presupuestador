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7 Hotel S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B45309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HAM ESTRUCTURAS METÁLICAS MENORCA</t>
        </is>
      </c>
    </row>
    <row r="2">
      <c r="A2" s="2" t="inlineStr">
        <is>
          <t>PRESUPUESTO TÉCNICO Y ECONÓMICO: P-2026-0047</t>
        </is>
      </c>
    </row>
    <row r="4">
      <c r="A4" s="3" t="inlineStr">
        <is>
          <t>Cliente:</t>
        </is>
      </c>
      <c r="B4" s="4" t="inlineStr">
        <is>
          <t>Hotel Sur</t>
        </is>
      </c>
    </row>
    <row r="5">
      <c r="A5" s="3" t="inlineStr">
        <is>
          <t>Ubicación:</t>
        </is>
      </c>
      <c r="B5" s="4" t="inlineStr">
        <is>
          <t>Instalaciones Hotel Sur, Menorca</t>
        </is>
      </c>
    </row>
    <row r="6">
      <c r="A6" s="3" t="inlineStr">
        <is>
          <t>Proyecto / Concepto:</t>
        </is>
      </c>
      <c r="B6" s="4" t="inlineStr">
        <is>
          <t>6 Partidas Hotel Sur 2026/2027: Vidrio, Inox 316L, Carpintería Aluminio, Separadores, Bastidores y Toldos</t>
        </is>
      </c>
    </row>
    <row r="7">
      <c r="A7" s="3" t="inlineStr">
        <is>
          <t>Fecha y Validez:</t>
        </is>
      </c>
      <c r="B7" s="4" t="inlineStr">
        <is>
          <t>29/10/2026 · Validez: 30 días naturales</t>
        </is>
      </c>
    </row>
    <row r="8">
      <c r="A8" s="3" t="inlineStr">
        <is>
          <t>Período Previsto:</t>
        </is>
      </c>
      <c r="B8" s="4" t="inlineStr">
        <is>
          <t>Temporada baja hotelera 2026 / 2027</t>
        </is>
      </c>
    </row>
    <row r="10">
      <c r="A10" s="5" t="inlineStr">
        <is>
          <t>ALCANCE GENERAL</t>
        </is>
      </c>
      <c r="B10" s="6" t="inlineStr">
        <is>
          <t>6 partidas completas de renovación. Incluye desmontaje y retirada de elementos antiguos en partidas 2, 3, 4 y 6. Materiales de alta resistencia al ambiente marino (Inox AISI 316L, aluminio Qualicoat y vidrio de seguridad).</t>
        </is>
      </c>
    </row>
    <row r="12">
      <c r="A12" s="7" t="inlineStr">
        <is>
          <t>Partida</t>
        </is>
      </c>
      <c r="B12" s="8" t="inlineStr">
        <is>
          <t>Concepto y Descripción Técnica</t>
        </is>
      </c>
      <c r="C12" s="7" t="inlineStr">
        <is>
          <t>Unidad</t>
        </is>
      </c>
      <c r="D12" s="7" t="inlineStr">
        <is>
          <t>Cantidad</t>
        </is>
      </c>
      <c r="E12" s="7" t="inlineStr">
        <is>
          <t>Precio Unitario (€)</t>
        </is>
      </c>
      <c r="F12" s="7" t="inlineStr">
        <is>
          <t>Importe (€)</t>
        </is>
      </c>
    </row>
    <row r="13">
      <c r="A13" s="9" t="inlineStr">
        <is>
          <t>01</t>
        </is>
      </c>
      <c r="B13" s="10" t="inlineStr">
        <is>
          <t>2 Fijos de cristal con perfil de mampara. Dimensiones: 2,64 x 2,64 m cada uno (Superficie total: 13,94 m²). Incluye perfilería de aluminio lacado/anodizado, vidrio de seguridad con cantos pulidos y sellado perimetral estanco EPDM.</t>
        </is>
      </c>
      <c r="C13" s="9" t="inlineStr">
        <is>
          <t>m2</t>
        </is>
      </c>
      <c r="D13" s="11" t="n">
        <v>13.9392</v>
      </c>
      <c r="E13" s="12" t="n">
        <v>400</v>
      </c>
      <c r="F13" s="12">
        <f>D13*E13</f>
        <v/>
      </c>
    </row>
    <row r="14">
      <c r="A14" s="9" t="inlineStr">
        <is>
          <t>02</t>
        </is>
      </c>
      <c r="B14" s="10" t="inlineStr">
        <is>
          <t>Barandilla de cristal con bases en tubo 40x40x2 mm Acero Inoxidable AISI 316L (55 ML) con cristal laminar de seguridad 4+4 mm. Anclajes inox A4. Incluye retirada de la vieja barandilla atornillada a pared lateral y transporte a vertedero.</t>
        </is>
      </c>
      <c r="C14" s="9" t="inlineStr">
        <is>
          <t>ml</t>
        </is>
      </c>
      <c r="D14" s="11" t="n">
        <v>55</v>
      </c>
      <c r="E14" s="12" t="n">
        <v>455</v>
      </c>
      <c r="F14" s="12">
        <f>D14*E14</f>
        <v/>
      </c>
    </row>
    <row r="15">
      <c r="A15" s="9" t="inlineStr">
        <is>
          <t>03</t>
        </is>
      </c>
      <c r="B15" s="10" t="inlineStr">
        <is>
          <t>Puerta de aluminio blanco calidad Qualicoat con cristal y fijo superior. Medidas hueco: altura 2,40 m y ancho 1,00 m. Incluye herrajes de uso intensivo, cerradura de seguridad y retirada de la vieja puerta.</t>
        </is>
      </c>
      <c r="C15" s="9" t="inlineStr">
        <is>
          <t>ud</t>
        </is>
      </c>
      <c r="D15" s="11" t="n">
        <v>1</v>
      </c>
      <c r="E15" s="12" t="n">
        <v>2300</v>
      </c>
      <c r="F15" s="12">
        <f>D15*E15</f>
        <v/>
      </c>
    </row>
    <row r="16">
      <c r="A16" s="9" t="inlineStr">
        <is>
          <t>04</t>
        </is>
      </c>
      <c r="B16" s="10" t="inlineStr">
        <is>
          <t>Separadores de aluminio y panel blanco (3 uds). Medidas unitarias: 3,00 m ancho x 1,50 m alto (Superficie total: 13,50 m²). Incluye estructura perimetral, fijaciones ocultas y retirada de antiguo separador.</t>
        </is>
      </c>
      <c r="C16" s="9" t="inlineStr">
        <is>
          <t>m2</t>
        </is>
      </c>
      <c r="D16" s="11" t="n">
        <v>13.5</v>
      </c>
      <c r="E16" s="12" t="n">
        <v>330</v>
      </c>
      <c r="F16" s="12">
        <f>D16*E16</f>
        <v/>
      </c>
    </row>
    <row r="17">
      <c r="A17" s="9" t="inlineStr">
        <is>
          <t>05</t>
        </is>
      </c>
      <c r="B17" s="10" t="inlineStr">
        <is>
          <t>2 Bastidores metálicos de perfil 80x40x2 mm forrados de madera (tablero) de 2,70 x 0,50 m amurados a pared mediante anclajes químicos. 1 ud para mesa o estante en comedor y 1 ud para expositor de tablets en recepción.</t>
        </is>
      </c>
      <c r="C17" s="9" t="inlineStr">
        <is>
          <t>ud</t>
        </is>
      </c>
      <c r="D17" s="11" t="n">
        <v>2</v>
      </c>
      <c r="E17" s="12" t="n">
        <v>1250</v>
      </c>
      <c r="F17" s="12">
        <f>D17*E17</f>
        <v/>
      </c>
    </row>
    <row r="18">
      <c r="A18" s="9" t="inlineStr">
        <is>
          <t>06</t>
        </is>
      </c>
      <c r="B18" s="10" t="inlineStr">
        <is>
          <t>Suministro e instalación de 3 unidades de Toldo lateral retráctil de 3 m aprox., tejido técnico resinado (color a definir). Cofre de aluminio lacado con sistema de retroceso amortiguado. Incluye retirada de antiguos toldos.</t>
        </is>
      </c>
      <c r="C18" s="9" t="inlineStr">
        <is>
          <t>ud</t>
        </is>
      </c>
      <c r="D18" s="11" t="n">
        <v>3</v>
      </c>
      <c r="E18" s="12" t="n">
        <v>500</v>
      </c>
      <c r="F18" s="12">
        <f>D18*E18</f>
        <v/>
      </c>
    </row>
    <row r="20">
      <c r="E20" s="3" t="inlineStr">
        <is>
          <t>Base Imponible:</t>
        </is>
      </c>
      <c r="F20" s="13">
        <f>SUM(F13:F18)</f>
        <v/>
      </c>
    </row>
    <row r="21">
      <c r="E21" s="4" t="inlineStr">
        <is>
          <t>IVA (21%):</t>
        </is>
      </c>
      <c r="F21" s="14">
        <f>F20*0.21</f>
        <v/>
      </c>
    </row>
    <row r="22">
      <c r="E22" s="2" t="inlineStr">
        <is>
          <t>TOTAL PRESUPUESTO:</t>
        </is>
      </c>
      <c r="F22" s="15">
        <f>F20+F21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2026-10-29T07:37:38Z</dcterms:created>
  <dcterms:modified xmlns:dcterms="http://purl.org/dc/terms/" xmlns:xsi="http://www.w3.org/2001/XMLSchema-instance" xsi:type="dcterms:W3CDTF">2026-10-29T07:37:38Z</dcterms:modified>
</cp:coreProperties>
</file>