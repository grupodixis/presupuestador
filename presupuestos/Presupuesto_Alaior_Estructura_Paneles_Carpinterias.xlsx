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1.3 Estructura Metálica" sheetId="2" state="visible" r:id="rId2"/>
    <sheet name="1.8 Conteo Carpinterías" sheetId="3" state="visible" r:id="rId3"/>
    <sheet name="2.0 Paneles y Cubier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CFDCEE"/>
        <bgColor rgb="00CFDC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right" vertical="center"/>
    </xf>
    <xf numFmtId="164" fontId="1" fillId="4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3" borderId="1" pivotButton="0" quotePrefix="0" xfId="0"/>
    <xf numFmtId="0" fontId="0" fillId="3" borderId="1" pivotButton="0" quotePrefix="0" xfId="0"/>
    <xf numFmtId="0" fontId="6" fillId="4" borderId="2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58" customWidth="1" min="3" max="3"/>
    <col width="12" customWidth="1" min="4" max="4"/>
    <col width="17" customWidth="1" min="5" max="5"/>
    <col width="58" customWidth="1" min="6" max="6"/>
    <col width="12" customWidth="1" min="7" max="7"/>
    <col width="15" customWidth="1" min="8" max="8"/>
  </cols>
  <sheetData>
    <row r="2">
      <c r="B2" s="1" t="inlineStr">
        <is>
          <t>PRESUPUESTO VALORADO: ESTRUCTURA, ENVOLVENTE Y CARPINTERÍAS</t>
        </is>
      </c>
    </row>
    <row r="3">
      <c r="B3" s="2" t="inlineStr">
        <is>
          <t>Nave para Almacén y Oficinas - Av. Santa Marianna 11-13 (Alaior, Menorca) | Obres Gabi Gonyalons S.L.U.</t>
        </is>
      </c>
    </row>
    <row r="5">
      <c r="B5" s="3" t="inlineStr">
        <is>
          <t>Capítulo / Subcapítulo</t>
        </is>
      </c>
      <c r="C5" s="3" t="inlineStr">
        <is>
          <t>Descripción del Trabajo</t>
        </is>
      </c>
      <c r="D5" s="4" t="inlineStr">
        <is>
          <t>Unidad</t>
        </is>
      </c>
      <c r="E5" s="3" t="inlineStr">
        <is>
          <t>Medición Total</t>
        </is>
      </c>
      <c r="F5" s="3" t="inlineStr">
        <is>
          <t>Observaciones principales</t>
        </is>
      </c>
      <c r="G5" s="4" t="inlineStr">
        <is>
          <t>Unitario</t>
        </is>
      </c>
      <c r="H5" s="4" t="inlineStr">
        <is>
          <t>SubTotal</t>
        </is>
      </c>
    </row>
    <row r="6">
      <c r="B6" s="5" t="inlineStr">
        <is>
          <t>1.3</t>
        </is>
      </c>
      <c r="C6" s="5" t="inlineStr">
        <is>
          <t>ESTRUCTURA METÁLICA (ACERO)</t>
        </is>
      </c>
      <c r="D6" s="6" t="inlineStr">
        <is>
          <t>Kg</t>
        </is>
      </c>
      <c r="E6" s="7" t="n">
        <v>36987.92</v>
      </c>
      <c r="F6" s="5" t="inlineStr">
        <is>
          <t>Pórticos IPE 360, pilares HEA 240/320, correas CF y pletinas FL</t>
        </is>
      </c>
      <c r="G6" s="8" t="n">
        <v>5</v>
      </c>
      <c r="H6" s="8">
        <f>E6*G6</f>
        <v/>
      </c>
    </row>
    <row r="7">
      <c r="B7" s="9" t="inlineStr">
        <is>
          <t xml:space="preserve">  1.3.1</t>
        </is>
      </c>
      <c r="C7" s="9" t="inlineStr">
        <is>
          <t>Acero conformado en frío serie C (Correas de cubierta CF-250x2.5)</t>
        </is>
      </c>
      <c r="D7" s="10" t="inlineStr">
        <is>
          <t>Kg</t>
        </is>
      </c>
      <c r="E7" s="11" t="n">
        <v>4008.34</v>
      </c>
      <c r="F7" s="9" t="inlineStr">
        <is>
          <t>84 piezas en cubierta faldones norte y sur</t>
        </is>
      </c>
      <c r="G7" s="12" t="n"/>
      <c r="H7" s="12" t="n"/>
    </row>
    <row r="8">
      <c r="B8" s="9" t="inlineStr">
        <is>
          <t xml:space="preserve">  1.3.2</t>
        </is>
      </c>
      <c r="C8" s="9" t="inlineStr">
        <is>
          <t>Acero laminado en caliente serie HEA (Pilares HEA 240 y HEA 320)</t>
        </is>
      </c>
      <c r="D8" s="10" t="inlineStr">
        <is>
          <t>Kg</t>
        </is>
      </c>
      <c r="E8" s="11" t="n">
        <v>16639.85</v>
      </c>
      <c r="F8" s="9" t="inlineStr">
        <is>
          <t>27 posiciones de pilares en perímetro e interior</t>
        </is>
      </c>
      <c r="G8" s="12" t="n"/>
      <c r="H8" s="12" t="n"/>
    </row>
    <row r="9">
      <c r="B9" s="9" t="inlineStr">
        <is>
          <t xml:space="preserve">  1.3.3</t>
        </is>
      </c>
      <c r="C9" s="9" t="inlineStr">
        <is>
          <t>Acero laminado en caliente serie IPE (Vigas pórticos y altillos IPE 180 a 360)</t>
        </is>
      </c>
      <c r="D9" s="10" t="inlineStr">
        <is>
          <t>Kg</t>
        </is>
      </c>
      <c r="E9" s="11" t="n">
        <v>15401.73</v>
      </c>
      <c r="F9" s="9" t="inlineStr">
        <is>
          <t>Pórticos de cubierta, vigas de forjado y dinteles</t>
        </is>
      </c>
      <c r="G9" s="12" t="n"/>
      <c r="H9" s="12" t="n"/>
    </row>
    <row r="10">
      <c r="B10" s="9" t="inlineStr">
        <is>
          <t xml:space="preserve">  1.3.4</t>
        </is>
      </c>
      <c r="C10" s="9" t="inlineStr">
        <is>
          <t>Acero laminado pletinas y uniones (Cruces de San Andrés, cartelas y rigidizadores)</t>
        </is>
      </c>
      <c r="D10" s="10" t="inlineStr">
        <is>
          <t>Kg</t>
        </is>
      </c>
      <c r="E10" s="11" t="n">
        <v>25</v>
      </c>
      <c r="F10" s="9" t="inlineStr">
        <is>
          <t>Rigidizadores y arriostramientos de nave</t>
        </is>
      </c>
      <c r="G10" s="12" t="n">
        <v>19650</v>
      </c>
      <c r="H10" s="12" t="n">
        <v>19650</v>
      </c>
    </row>
    <row r="12">
      <c r="B12" s="5" t="inlineStr">
        <is>
          <t>1.8</t>
        </is>
      </c>
      <c r="C12" s="5" t="inlineStr">
        <is>
          <t>CARPINTERÍAS EXTERIORES, INTERIORES Y MAMPARAS</t>
        </is>
      </c>
      <c r="D12" s="6" t="inlineStr">
        <is>
          <t>Ud</t>
        </is>
      </c>
      <c r="E12" s="7" t="n">
        <v>51</v>
      </c>
      <c r="F12" s="5" t="inlineStr">
        <is>
          <t>Conteo detallado de plano de carpinterias nº 11</t>
        </is>
      </c>
      <c r="G12" s="13" t="n"/>
      <c r="H12" s="8">
        <f>H13+H14</f>
        <v/>
      </c>
    </row>
    <row r="13">
      <c r="B13" s="9" t="inlineStr">
        <is>
          <t xml:space="preserve">  1.8.1</t>
        </is>
      </c>
      <c r="C13" s="9" t="inlineStr">
        <is>
          <t>Carpintería exterior de aluminio y lamas (Puertas correderas, ventanas y claraboyas)</t>
        </is>
      </c>
      <c r="D13" s="10" t="inlineStr">
        <is>
          <t>Ud</t>
        </is>
      </c>
      <c r="E13" s="11" t="n">
        <v>37</v>
      </c>
      <c r="F13" s="9" t="inlineStr">
        <is>
          <t>2 puertas correderas 4x3.5m, 23 ventanas batientes/oscilobatientes y 12 claraboyas</t>
        </is>
      </c>
      <c r="G13" s="12" t="n"/>
      <c r="H13" s="14" t="n">
        <v>22650</v>
      </c>
    </row>
    <row r="14">
      <c r="B14" s="9" t="inlineStr">
        <is>
          <t xml:space="preserve">  1.8.2</t>
        </is>
      </c>
      <c r="C14" s="9" t="inlineStr">
        <is>
          <t>Carpintería interior y mamparas de baño (Puertas batientes roble, correderas y mamparas)</t>
        </is>
      </c>
      <c r="D14" s="10" t="inlineStr">
        <is>
          <t>Ud</t>
        </is>
      </c>
      <c r="E14" s="11" t="n">
        <v>14</v>
      </c>
      <c r="F14" s="9" t="inlineStr">
        <is>
          <t>9 puertas batientes roble, 3 correderas ocultas y 2 mamparas dobles inox</t>
        </is>
      </c>
      <c r="G14" s="12" t="n"/>
      <c r="H14" s="14" t="n">
        <v>6750</v>
      </c>
    </row>
    <row r="16">
      <c r="B16" s="5" t="inlineStr">
        <is>
          <t>2.0</t>
        </is>
      </c>
      <c r="C16" s="5" t="inlineStr">
        <is>
          <t>PANELES DE CUBIERTA Y FACHADAS</t>
        </is>
      </c>
      <c r="D16" s="6" t="inlineStr">
        <is>
          <t>m²</t>
        </is>
      </c>
      <c r="E16" s="7" t="n">
        <v>1073.62</v>
      </c>
      <c r="F16" s="5" t="inlineStr">
        <is>
          <t>Cerramiento sándwich PUR en fachada y acústico en cubierta</t>
        </is>
      </c>
      <c r="G16" s="13" t="n"/>
      <c r="H16" s="8">
        <f>H17+H18+H19</f>
        <v/>
      </c>
    </row>
    <row r="17">
      <c r="B17" s="9" t="inlineStr">
        <is>
          <t xml:space="preserve">  2.1</t>
        </is>
      </c>
      <c r="C17" s="9" t="inlineStr">
        <is>
          <t>Fachada de paneles sándwich PUR 50 mm (Fijación oculta, chapa prelacada)</t>
        </is>
      </c>
      <c r="D17" s="10" t="inlineStr">
        <is>
          <t>m²</t>
        </is>
      </c>
      <c r="E17" s="11" t="n">
        <v>346.87</v>
      </c>
      <c r="F17" s="9" t="inlineStr">
        <is>
          <t>Franjas superiores en alzados de la nave</t>
        </is>
      </c>
      <c r="G17" s="14" t="n">
        <v>120</v>
      </c>
      <c r="H17" s="14">
        <f>E17*G17</f>
        <v/>
      </c>
    </row>
    <row r="18">
      <c r="B18" s="9" t="inlineStr">
        <is>
          <t xml:space="preserve">  2.2</t>
        </is>
      </c>
      <c r="C18" s="9" t="inlineStr">
        <is>
          <t>Cobertura de paneles sándwich acústicos e=100 mm (Lana roca 95 kg/m³ fonoabsorbente)</t>
        </is>
      </c>
      <c r="D18" s="10" t="inlineStr">
        <is>
          <t>m²</t>
        </is>
      </c>
      <c r="E18" s="11" t="n">
        <v>711.75</v>
      </c>
      <c r="F18" s="9" t="inlineStr">
        <is>
          <t>Cubierta a dos aguas sobre correas CF-250x2.5</t>
        </is>
      </c>
      <c r="G18" s="14" t="n">
        <v>165</v>
      </c>
      <c r="H18" s="14">
        <f>E18*G18</f>
        <v/>
      </c>
    </row>
    <row r="19">
      <c r="B19" s="9" t="inlineStr">
        <is>
          <t xml:space="preserve">  2.3</t>
        </is>
      </c>
      <c r="C19" s="9" t="inlineStr">
        <is>
          <t>Lucernarios de cubierta en policarbonato celular e=30 mm</t>
        </is>
      </c>
      <c r="D19" s="10" t="inlineStr">
        <is>
          <t>m²</t>
        </is>
      </c>
      <c r="E19" s="11" t="n">
        <v>15</v>
      </c>
      <c r="F19" s="9" t="inlineStr">
        <is>
          <t>12 unidades de lucernario de 1.00 x 1.20 m (~14.40 m² redondeado)</t>
        </is>
      </c>
      <c r="G19" s="14" t="n">
        <v>165</v>
      </c>
      <c r="H19" s="14">
        <f>E19*G19</f>
        <v/>
      </c>
    </row>
    <row r="21">
      <c r="F21" s="15" t="inlineStr">
        <is>
          <t>TOTAL PRESUPUESTO EJECUCIÓN MATERIAL (PEM):</t>
        </is>
      </c>
      <c r="H21" s="16">
        <f>H6+H12+H16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8" customWidth="1" min="3" max="3"/>
    <col width="22" customWidth="1" min="4" max="4"/>
    <col width="58" customWidth="1" min="5" max="5"/>
    <col width="12" customWidth="1" min="6" max="6"/>
    <col width="18" customWidth="1" min="7" max="7"/>
    <col width="25" customWidth="1" min="8" max="8"/>
    <col width="20" customWidth="1" min="9" max="9"/>
  </cols>
  <sheetData>
    <row r="2">
      <c r="B2" s="1" t="inlineStr">
        <is>
          <t>SUBCAPÍTULO 1.3 - ESTRUCTURA METÁLICA (ACERO)</t>
        </is>
      </c>
    </row>
    <row r="3">
      <c r="B3" s="2" t="inlineStr">
        <is>
          <t>Desglose por perfiles según modelo CYPECAD y planos E01 a E10 | Alaior</t>
        </is>
      </c>
    </row>
    <row r="5">
      <c r="B5" s="4" t="inlineStr">
        <is>
          <t>Partida</t>
        </is>
      </c>
      <c r="C5" s="4" t="inlineStr">
        <is>
          <t>Descripción Técnica y Tipo de Perfil</t>
        </is>
      </c>
      <c r="D5" s="4" t="inlineStr">
        <is>
          <t>Norma / Calidad</t>
        </is>
      </c>
      <c r="E5" s="4" t="inlineStr">
        <is>
          <t>Tipo de Elementos</t>
        </is>
      </c>
      <c r="F5" s="4" t="inlineStr">
        <is>
          <t>Uds.</t>
        </is>
      </c>
      <c r="G5" s="4" t="inlineStr">
        <is>
          <t>Peso Total (Kg)</t>
        </is>
      </c>
      <c r="H5" s="4" t="inlineStr">
        <is>
          <t>Precio Unitario (€/kg)</t>
        </is>
      </c>
      <c r="I5" s="4" t="inlineStr">
        <is>
          <t>Importe Total (€)</t>
        </is>
      </c>
    </row>
    <row r="6">
      <c r="B6" s="10" t="inlineStr">
        <is>
          <t>1.3.1</t>
        </is>
      </c>
      <c r="C6" s="9" t="inlineStr">
        <is>
          <t>Perfiles conformados en frío serie C (CF-250x2.5)</t>
        </is>
      </c>
      <c r="D6" s="10" t="inlineStr">
        <is>
          <t>UNE-EN 10025 S235JR</t>
        </is>
      </c>
      <c r="E6" s="10" t="inlineStr">
        <is>
          <t>Correas de cubierta faldones flector/apoyo</t>
        </is>
      </c>
      <c r="F6" s="9" t="n">
        <v>84</v>
      </c>
      <c r="G6" s="11" t="n">
        <v>4008.34</v>
      </c>
      <c r="H6" s="14" t="n">
        <v>5</v>
      </c>
      <c r="I6" s="14">
        <f>G6*H6</f>
        <v/>
      </c>
    </row>
    <row r="7">
      <c r="B7" s="10" t="inlineStr">
        <is>
          <t>1.3.2</t>
        </is>
      </c>
      <c r="C7" s="9" t="inlineStr">
        <is>
          <t>Perfiles laminados en caliente serie HEA (HEA 240 / HEA 320)</t>
        </is>
      </c>
      <c r="D7" s="10" t="inlineStr">
        <is>
          <t>UNE-EN 10025 S275JR</t>
        </is>
      </c>
      <c r="E7" s="10" t="inlineStr">
        <is>
          <t>Pilares perimetrales, pilares centrales y arranque</t>
        </is>
      </c>
      <c r="F7" s="9" t="n">
        <v>27</v>
      </c>
      <c r="G7" s="11" t="n">
        <v>16639.85</v>
      </c>
      <c r="H7" s="14" t="n">
        <v>5</v>
      </c>
      <c r="I7" s="14">
        <f>G7*H7</f>
        <v/>
      </c>
    </row>
    <row r="8">
      <c r="B8" s="10" t="inlineStr">
        <is>
          <t>1.3.3</t>
        </is>
      </c>
      <c r="C8" s="9" t="inlineStr">
        <is>
          <t>Perfiles laminados en caliente serie IPE (IPE 180 a IPE 360)</t>
        </is>
      </c>
      <c r="D8" s="10" t="inlineStr">
        <is>
          <t>UNE-EN 10025 S275JR</t>
        </is>
      </c>
      <c r="E8" s="10" t="inlineStr">
        <is>
          <t>Dinteles pórticos cubierta, vigas altillos oficinas y zunchos</t>
        </is>
      </c>
      <c r="F8" s="9" t="n">
        <v>76</v>
      </c>
      <c r="G8" s="11" t="n">
        <v>15401.73</v>
      </c>
      <c r="H8" s="14" t="n">
        <v>5</v>
      </c>
      <c r="I8" s="14">
        <f>G8*H8</f>
        <v/>
      </c>
    </row>
    <row r="9">
      <c r="B9" s="10" t="inlineStr">
        <is>
          <t>1.3.4</t>
        </is>
      </c>
      <c r="C9" s="9" t="inlineStr">
        <is>
          <t>Pletinas laminadas serie FL (FL 35x5 a FL 120x5)</t>
        </is>
      </c>
      <c r="D9" s="10" t="inlineStr">
        <is>
          <t>UNE-EN 10025 S275JR</t>
        </is>
      </c>
      <c r="E9" s="10" t="inlineStr">
        <is>
          <t>Cruces de San Andrés, cartelas, rigidizadores de nudos</t>
        </is>
      </c>
      <c r="F9" s="9" t="n">
        <v>56</v>
      </c>
      <c r="G9" s="11" t="n">
        <v>938</v>
      </c>
      <c r="H9" s="14" t="n">
        <v>5</v>
      </c>
      <c r="I9" s="14">
        <f>G9*H9</f>
        <v/>
      </c>
    </row>
    <row r="10">
      <c r="F10" s="17" t="inlineStr">
        <is>
          <t>TOTALES:</t>
        </is>
      </c>
      <c r="G10" s="18">
        <f>SUM(G6:G9)</f>
        <v/>
      </c>
      <c r="H10" s="19" t="n">
        <v>5</v>
      </c>
      <c r="I10" s="19">
        <f>SUM(I6:I9)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7" customWidth="1" min="3" max="3"/>
    <col width="28" customWidth="1" min="4" max="4"/>
    <col width="12" customWidth="1" min="5" max="5"/>
    <col width="12" customWidth="1" min="6" max="6"/>
    <col width="21" customWidth="1" min="7" max="7"/>
    <col width="28" customWidth="1" min="8" max="8"/>
    <col width="58" customWidth="1" min="9" max="9"/>
    <col width="46" customWidth="1" min="10" max="10"/>
    <col width="16" customWidth="1" min="11" max="11"/>
    <col width="28" customWidth="1" min="12" max="12"/>
  </cols>
  <sheetData>
    <row r="2">
      <c r="B2" s="1" t="inlineStr">
        <is>
          <t>SUBCAPÍTULO 1.8 - CARPINTERÍAS Y CERRAMIENTOS (PLANO Nº 11)</t>
        </is>
      </c>
    </row>
    <row r="3">
      <c r="B3" s="2" t="inlineStr">
        <is>
          <t>Presupuesto detallado por tipo de elemento: Aluminio RPT, lamas ciegas, madera roble y mamparas</t>
        </is>
      </c>
    </row>
    <row r="5">
      <c r="B5" s="4" t="inlineStr">
        <is>
          <t>Código</t>
        </is>
      </c>
      <c r="C5" s="4" t="inlineStr">
        <is>
          <t>Tipo de Elemento</t>
        </is>
      </c>
      <c r="D5" s="4" t="inlineStr">
        <is>
          <t>Uds.</t>
        </is>
      </c>
      <c r="E5" s="4" t="inlineStr">
        <is>
          <t>Ancho (m)</t>
        </is>
      </c>
      <c r="F5" s="4" t="inlineStr">
        <is>
          <t>Alto (m)</t>
        </is>
      </c>
      <c r="G5" s="4" t="inlineStr">
        <is>
          <t>Superficie Ud (m²)</t>
        </is>
      </c>
      <c r="H5" s="4" t="inlineStr">
        <is>
          <t>Superficie Tot (m²)</t>
        </is>
      </c>
      <c r="I5" s="4" t="inlineStr">
        <is>
          <t>Vidrio / Material / Acabado</t>
        </is>
      </c>
      <c r="J5" s="4" t="inlineStr">
        <is>
          <t>Ubicación en Nave</t>
        </is>
      </c>
      <c r="K5" s="4" t="inlineStr">
        <is>
          <t>Precio Ud (€)</t>
        </is>
      </c>
      <c r="L5" s="4" t="inlineStr">
        <is>
          <t>Importe Total (€)</t>
        </is>
      </c>
    </row>
    <row r="6">
      <c r="B6" s="10" t="inlineStr">
        <is>
          <t>CE-01</t>
        </is>
      </c>
      <c r="C6" s="9" t="inlineStr">
        <is>
          <t>Puerta corredera exterior ciega</t>
        </is>
      </c>
      <c r="D6" s="10" t="n">
        <v>2</v>
      </c>
      <c r="E6" s="20" t="n">
        <v>4</v>
      </c>
      <c r="F6" s="20" t="n">
        <v>3.5</v>
      </c>
      <c r="G6" s="20" t="n">
        <v>14</v>
      </c>
      <c r="H6" s="20" t="n">
        <v>28</v>
      </c>
      <c r="I6" s="9" t="inlineStr">
        <is>
          <t>Aluminio extruido e&gt;=2mm, lamas machihembradas lacado verde</t>
        </is>
      </c>
      <c r="J6" s="9" t="inlineStr">
        <is>
          <t>Fachadas Oeste y Sur (Accesos almacén)</t>
        </is>
      </c>
      <c r="K6" s="14" t="n">
        <v>3900</v>
      </c>
      <c r="L6" s="14">
        <f>D6*K6</f>
        <v/>
      </c>
    </row>
    <row r="7">
      <c r="B7" s="10" t="inlineStr">
        <is>
          <t>CE-02</t>
        </is>
      </c>
      <c r="C7" s="9" t="inlineStr">
        <is>
          <t>Balconera / puerta acristalada</t>
        </is>
      </c>
      <c r="D7" s="10" t="n">
        <v>1</v>
      </c>
      <c r="E7" s="20" t="n">
        <v>1</v>
      </c>
      <c r="F7" s="20" t="n">
        <v>2.5</v>
      </c>
      <c r="G7" s="20" t="n">
        <v>2.5</v>
      </c>
      <c r="H7" s="20" t="n">
        <v>2.5</v>
      </c>
      <c r="I7" s="9" t="inlineStr">
        <is>
          <t>Aluminio verde, vidrio 6 + 16 argón + 4 BE bajo emisivo</t>
        </is>
      </c>
      <c r="J7" s="9" t="inlineStr">
        <is>
          <t>Fachada Oeste (Acceso peatonal vestibulo 1)</t>
        </is>
      </c>
      <c r="K7" s="14" t="n">
        <v>820</v>
      </c>
      <c r="L7" s="14">
        <f>D7*K7</f>
        <v/>
      </c>
    </row>
    <row r="8">
      <c r="B8" s="10" t="inlineStr">
        <is>
          <t>CE-03</t>
        </is>
      </c>
      <c r="C8" s="9" t="inlineStr">
        <is>
          <t>Balconera / puerta acristalada</t>
        </is>
      </c>
      <c r="D8" s="10" t="n">
        <v>1</v>
      </c>
      <c r="E8" s="20" t="n">
        <v>1</v>
      </c>
      <c r="F8" s="20" t="n">
        <v>2.5</v>
      </c>
      <c r="G8" s="20" t="n">
        <v>2.5</v>
      </c>
      <c r="H8" s="20" t="n">
        <v>2.5</v>
      </c>
      <c r="I8" s="9" t="inlineStr">
        <is>
          <t>Aluminio verde, vidrio 6 + 16 argón + 4 BE bajo emisivo</t>
        </is>
      </c>
      <c r="J8" s="9" t="inlineStr">
        <is>
          <t>Fachada Sur (Acceso peatonal vestibulo 2)</t>
        </is>
      </c>
      <c r="K8" s="14" t="n">
        <v>820</v>
      </c>
      <c r="L8" s="14">
        <f>D8*K8</f>
        <v/>
      </c>
    </row>
    <row r="9">
      <c r="B9" s="10" t="inlineStr">
        <is>
          <t>CE-04</t>
        </is>
      </c>
      <c r="C9" s="9" t="inlineStr">
        <is>
          <t>Ventana de oficinas</t>
        </is>
      </c>
      <c r="D9" s="10" t="n">
        <v>1</v>
      </c>
      <c r="E9" s="20" t="n">
        <v>2.05</v>
      </c>
      <c r="F9" s="20" t="n">
        <v>1.2</v>
      </c>
      <c r="G9" s="20" t="n">
        <v>2.46</v>
      </c>
      <c r="H9" s="20" t="n">
        <v>2.46</v>
      </c>
      <c r="I9" s="9" t="inlineStr">
        <is>
          <t>Aluminio verde, vidrio 6 + 16 argón + 4 BE</t>
        </is>
      </c>
      <c r="J9" s="9" t="inlineStr">
        <is>
          <t>Planta Primera oficinas</t>
        </is>
      </c>
      <c r="K9" s="14" t="n">
        <v>710</v>
      </c>
      <c r="L9" s="14">
        <f>D9*K9</f>
        <v/>
      </c>
    </row>
    <row r="10">
      <c r="B10" s="10" t="inlineStr">
        <is>
          <t>CE-05</t>
        </is>
      </c>
      <c r="C10" s="9" t="inlineStr">
        <is>
          <t>Ventana de oficinas</t>
        </is>
      </c>
      <c r="D10" s="10" t="n">
        <v>1</v>
      </c>
      <c r="E10" s="20" t="n">
        <v>1.7</v>
      </c>
      <c r="F10" s="20" t="n">
        <v>1.2</v>
      </c>
      <c r="G10" s="20" t="n">
        <v>2.04</v>
      </c>
      <c r="H10" s="20" t="n">
        <v>2.04</v>
      </c>
      <c r="I10" s="9" t="inlineStr">
        <is>
          <t>Aluminio verde, vidrio 6 + 16 argón + 4 BE</t>
        </is>
      </c>
      <c r="J10" s="9" t="inlineStr">
        <is>
          <t>Planta Primera oficinas</t>
        </is>
      </c>
      <c r="K10" s="14" t="n">
        <v>620</v>
      </c>
      <c r="L10" s="14">
        <f>D10*K10</f>
        <v/>
      </c>
    </row>
    <row r="11">
      <c r="B11" s="10" t="inlineStr">
        <is>
          <t>CE-06</t>
        </is>
      </c>
      <c r="C11" s="9" t="inlineStr">
        <is>
          <t>Ventana estándar oficinas y nave</t>
        </is>
      </c>
      <c r="D11" s="10" t="n">
        <v>16</v>
      </c>
      <c r="E11" s="20" t="n">
        <v>1.2</v>
      </c>
      <c r="F11" s="20" t="n">
        <v>1.2</v>
      </c>
      <c r="G11" s="20" t="n">
        <v>1.44</v>
      </c>
      <c r="H11" s="20" t="n">
        <v>23.04</v>
      </c>
      <c r="I11" s="9" t="inlineStr">
        <is>
          <t>Aluminio verde, vidrio 6 + 16 argón + 4 BE</t>
        </is>
      </c>
      <c r="J11" s="9" t="inlineStr">
        <is>
          <t>Fachadas Norte, Sur, Este y Oeste</t>
        </is>
      </c>
      <c r="K11" s="14" t="n">
        <v>495</v>
      </c>
      <c r="L11" s="14">
        <f>D11*K11</f>
        <v/>
      </c>
    </row>
    <row r="12">
      <c r="B12" s="10" t="inlineStr">
        <is>
          <t>CE-07</t>
        </is>
      </c>
      <c r="C12" s="9" t="inlineStr">
        <is>
          <t>Ventana aseos/distribuidor</t>
        </is>
      </c>
      <c r="D12" s="10" t="n">
        <v>1</v>
      </c>
      <c r="E12" s="20" t="n">
        <v>0.7</v>
      </c>
      <c r="F12" s="20" t="n">
        <v>1.2</v>
      </c>
      <c r="G12" s="20" t="n">
        <v>0.84</v>
      </c>
      <c r="H12" s="20" t="n">
        <v>0.84</v>
      </c>
      <c r="I12" s="9" t="inlineStr">
        <is>
          <t>Aluminio verde, vidrio 6 + 16 argón + 4 BE</t>
        </is>
      </c>
      <c r="J12" s="9" t="inlineStr">
        <is>
          <t>Planta Primera aseos</t>
        </is>
      </c>
      <c r="K12" s="14" t="n">
        <v>360</v>
      </c>
      <c r="L12" s="14">
        <f>D12*K12</f>
        <v/>
      </c>
    </row>
    <row r="13">
      <c r="B13" s="10" t="inlineStr">
        <is>
          <t>CE-08</t>
        </is>
      </c>
      <c r="C13" s="9" t="inlineStr">
        <is>
          <t>Ventana alta aseos</t>
        </is>
      </c>
      <c r="D13" s="10" t="n">
        <v>2</v>
      </c>
      <c r="E13" s="20" t="n">
        <v>0.5</v>
      </c>
      <c r="F13" s="20" t="n">
        <v>1.2</v>
      </c>
      <c r="G13" s="20" t="n">
        <v>0.6</v>
      </c>
      <c r="H13" s="20" t="n">
        <v>1.2</v>
      </c>
      <c r="I13" s="9" t="inlineStr">
        <is>
          <t>Aluminio verde, vidrio 6 + 16 argón + 4 BE</t>
        </is>
      </c>
      <c r="J13" s="9" t="inlineStr">
        <is>
          <t>Aseos / vestuarios</t>
        </is>
      </c>
      <c r="K13" s="14" t="n">
        <v>300</v>
      </c>
      <c r="L13" s="14">
        <f>D13*K13</f>
        <v/>
      </c>
    </row>
    <row r="14">
      <c r="B14" s="10" t="inlineStr">
        <is>
          <t>CE-09</t>
        </is>
      </c>
      <c r="C14" s="9" t="inlineStr">
        <is>
          <t>Claraboya fija de cubierta</t>
        </is>
      </c>
      <c r="D14" s="10" t="n">
        <v>12</v>
      </c>
      <c r="E14" s="20" t="n">
        <v>1</v>
      </c>
      <c r="F14" s="20" t="n">
        <v>1.2</v>
      </c>
      <c r="G14" s="20" t="n">
        <v>1.2</v>
      </c>
      <c r="H14" s="20" t="n">
        <v>14.4</v>
      </c>
      <c r="I14" s="9" t="inlineStr">
        <is>
          <t>Marco aluminio anodizado + policarbonato (Presupuestado en cap. 2.3 Lucernarios)</t>
        </is>
      </c>
      <c r="J14" s="9" t="inlineStr">
        <is>
          <t>Cubierta inclinada faldones norte y sur</t>
        </is>
      </c>
      <c r="K14" s="14" t="n">
        <v>0</v>
      </c>
      <c r="L14" s="14" t="n">
        <v>0</v>
      </c>
    </row>
    <row r="15">
      <c r="B15" s="21" t="inlineStr">
        <is>
          <t>CARPINTERÍA INTERIOR DE MADERA Y MAMPARAS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B16" s="10" t="inlineStr">
        <is>
          <t>CI-01</t>
        </is>
      </c>
      <c r="C16" s="9" t="inlineStr">
        <is>
          <t>Puerta de paso interior batiente</t>
        </is>
      </c>
      <c r="D16" s="10" t="n">
        <v>9</v>
      </c>
      <c r="E16" s="20" t="n">
        <v>0.87</v>
      </c>
      <c r="F16" s="20" t="n">
        <v>2.05</v>
      </c>
      <c r="G16" s="20" t="n">
        <v>1.78</v>
      </c>
      <c r="H16" s="20" t="n">
        <v>16.05</v>
      </c>
      <c r="I16" s="9" t="inlineStr">
        <is>
          <t>Madera acabado roble, herrajes y tirador inox mate modelo DF</t>
        </is>
      </c>
      <c r="J16" s="9" t="inlineStr">
        <is>
          <t>Oficinas, salas reuniones, archivos y baños</t>
        </is>
      </c>
      <c r="K16" s="14" t="n">
        <v>380</v>
      </c>
      <c r="L16" s="14">
        <f>D16*K16</f>
        <v/>
      </c>
    </row>
    <row r="17">
      <c r="B17" s="10" t="inlineStr">
        <is>
          <t>CI-02</t>
        </is>
      </c>
      <c r="C17" s="9" t="inlineStr">
        <is>
          <t>Puerta corredera oculta en tabique</t>
        </is>
      </c>
      <c r="D17" s="10" t="n">
        <v>3</v>
      </c>
      <c r="E17" s="20" t="n">
        <v>0.8</v>
      </c>
      <c r="F17" s="20" t="n">
        <v>2.05</v>
      </c>
      <c r="G17" s="20" t="n">
        <v>1.64</v>
      </c>
      <c r="H17" s="20" t="n">
        <v>4.92</v>
      </c>
      <c r="I17" s="9" t="inlineStr">
        <is>
          <t>Madera roble, casoneto armazón oculto tipo Maydisa</t>
        </is>
      </c>
      <c r="J17" s="9" t="inlineStr">
        <is>
          <t>Aseos y distribuidores altillos</t>
        </is>
      </c>
      <c r="K17" s="14" t="n">
        <v>630</v>
      </c>
      <c r="L17" s="14">
        <f>D17*K17</f>
        <v/>
      </c>
    </row>
    <row r="18">
      <c r="B18" s="10" t="inlineStr">
        <is>
          <t>MV-01</t>
        </is>
      </c>
      <c r="C18" s="9" t="inlineStr">
        <is>
          <t>Mampara divisoria ducha/aseos</t>
        </is>
      </c>
      <c r="D18" s="10" t="n">
        <v>2</v>
      </c>
      <c r="E18" s="20" t="n">
        <v>1.7</v>
      </c>
      <c r="F18" s="20" t="n">
        <v>2</v>
      </c>
      <c r="G18" s="20" t="n">
        <v>3.4</v>
      </c>
      <c r="H18" s="20" t="n">
        <v>6.8</v>
      </c>
      <c r="I18" s="9" t="inlineStr">
        <is>
          <t>Vidrio templado seguridad, bisagras y herrajes inox</t>
        </is>
      </c>
      <c r="J18" s="9" t="inlineStr">
        <is>
          <t>Baño 1 y Baño 2 planta primera</t>
        </is>
      </c>
      <c r="K18" s="14" t="n">
        <v>720</v>
      </c>
      <c r="L18" s="14">
        <f>D18*K18</f>
        <v/>
      </c>
    </row>
    <row r="20">
      <c r="C20" s="17" t="inlineStr">
        <is>
          <t>TOTAL CARPINTERÍAS Y MAMPARAS:</t>
        </is>
      </c>
      <c r="D20" s="23">
        <f>SUM(D6:D14)+SUM(D16:D18)</f>
        <v/>
      </c>
      <c r="H20" s="24">
        <f>SUM(H6:H14)+SUM(H16:H18)</f>
        <v/>
      </c>
      <c r="L20" s="19">
        <f>SUM(L6:L14)+SUM(L16:L18)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8" customWidth="1" min="3" max="3"/>
    <col width="27" customWidth="1" min="4" max="4"/>
    <col width="14" customWidth="1" min="5" max="5"/>
    <col width="22" customWidth="1" min="6" max="6"/>
    <col width="20" customWidth="1" min="7" max="7"/>
    <col width="58" customWidth="1" min="8" max="8"/>
    <col width="58" customWidth="1" min="9" max="9"/>
    <col width="58" customWidth="1" min="10" max="10"/>
  </cols>
  <sheetData>
    <row r="2">
      <c r="B2" s="1" t="inlineStr">
        <is>
          <t>CAPÍTULO 2 - PANELES DE CUBIERTA Y FACHADAS</t>
        </is>
      </c>
    </row>
    <row r="3">
      <c r="B3" s="2" t="inlineStr">
        <is>
          <t>Presupuesto valorado de envolvente ligera con paneles sándwich y lucernarios</t>
        </is>
      </c>
    </row>
    <row r="5">
      <c r="B5" s="4" t="inlineStr">
        <is>
          <t>Partida</t>
        </is>
      </c>
      <c r="C5" s="4" t="inlineStr">
        <is>
          <t>Descripción de la Unidad</t>
        </is>
      </c>
      <c r="D5" s="4" t="inlineStr">
        <is>
          <t>Unidad</t>
        </is>
      </c>
      <c r="E5" s="4" t="inlineStr">
        <is>
          <t>Medición</t>
        </is>
      </c>
      <c r="F5" s="4" t="inlineStr">
        <is>
          <t>Precio Unitario (€)</t>
        </is>
      </c>
      <c r="G5" s="4" t="inlineStr">
        <is>
          <t>Importe Total (€)</t>
        </is>
      </c>
      <c r="H5" s="4" t="inlineStr">
        <is>
          <t>Espesor / Núcleo</t>
        </is>
      </c>
      <c r="I5" s="4" t="inlineStr">
        <is>
          <t>Acabado Chapa Ext. / Int.</t>
        </is>
      </c>
      <c r="J5" s="4" t="inlineStr">
        <is>
          <t>Detalle de Medición en Proyecto</t>
        </is>
      </c>
    </row>
    <row r="6">
      <c r="B6" s="10" t="inlineStr">
        <is>
          <t>2.1</t>
        </is>
      </c>
      <c r="C6" s="9" t="inlineStr">
        <is>
          <t>Fachada de paneles sándwich PUR 50 mm con fijación oculta</t>
        </is>
      </c>
      <c r="D6" s="10" t="inlineStr">
        <is>
          <t>m²</t>
        </is>
      </c>
      <c r="E6" s="11" t="n">
        <v>120</v>
      </c>
      <c r="F6" s="14" t="n">
        <v>110</v>
      </c>
      <c r="G6" s="14">
        <f>E6*F6</f>
        <v/>
      </c>
      <c r="H6" s="9" t="inlineStr">
        <is>
          <t>50 mm (Poliuretano densidad media 40 kg/m³, B-s1,d0)</t>
        </is>
      </c>
      <c r="I6" s="9" t="inlineStr">
        <is>
          <t>Chapa ext. 0.5 mm semilisa poliéster / Chapa int. 0.5 mm nervada</t>
        </is>
      </c>
      <c r="J6" s="9" t="inlineStr">
        <is>
          <t>Franja alzado este (171.57 m²) + Franja alzado oeste (175.30 m²)</t>
        </is>
      </c>
    </row>
    <row r="7">
      <c r="B7" s="10" t="inlineStr">
        <is>
          <t>2.2</t>
        </is>
      </c>
      <c r="C7" s="9" t="inlineStr">
        <is>
          <t>Cobertura de paneles sándwich acústicos lana de roca 100 mm</t>
        </is>
      </c>
      <c r="D7" s="10" t="inlineStr">
        <is>
          <t>m²</t>
        </is>
      </c>
      <c r="E7" s="11" t="n">
        <v>165</v>
      </c>
      <c r="F7" s="14" t="n">
        <v>175</v>
      </c>
      <c r="G7" s="14">
        <f>E7*F7</f>
        <v/>
      </c>
      <c r="H7" s="9" t="inlineStr">
        <is>
          <t>100 mm (Lana de roca 95 kg/m³, A2-s1,d0, Rw 35 dB)</t>
        </is>
      </c>
      <c r="I7" s="9" t="inlineStr">
        <is>
          <t>Chapa ext. 0.5 mm grecada (5 grecas) / Chapa int. 0.5 mm microperforada acústica</t>
        </is>
      </c>
      <c r="J7" s="9" t="inlineStr">
        <is>
          <t>Cubierta faldones inclinados nave pendiente &gt;10% (711.75 m²)</t>
        </is>
      </c>
    </row>
    <row r="8">
      <c r="B8" s="10" t="inlineStr">
        <is>
          <t>2.3</t>
        </is>
      </c>
      <c r="C8" s="9" t="inlineStr">
        <is>
          <t>Lucernario a un agua en cubierta con placas policarbonato celular</t>
        </is>
      </c>
      <c r="D8" s="10" t="inlineStr">
        <is>
          <t>m²</t>
        </is>
      </c>
      <c r="E8" s="11" t="n">
        <v>165</v>
      </c>
      <c r="F8" s="14" t="n">
        <v>176</v>
      </c>
      <c r="G8" s="14">
        <f>E8*F8</f>
        <v/>
      </c>
      <c r="H8" s="9" t="inlineStr">
        <is>
          <t>30 mm (Policarbonato celular translúcido con accesorios fijación y sellado)</t>
        </is>
      </c>
      <c r="I8" s="9" t="inlineStr">
        <is>
          <t>Placas planas translúcidas de alta resistencia al impacto y protección UV</t>
        </is>
      </c>
      <c r="J8" s="9" t="inlineStr">
        <is>
          <t>12 claraboyas CE-09 de 1.00x1.20 m sobre cubierta (14.40 m² ~ 15 m²)</t>
        </is>
      </c>
    </row>
    <row r="9">
      <c r="D9" s="17" t="inlineStr">
        <is>
          <t>TOTAL ENVOLVENTE LIGERA:</t>
        </is>
      </c>
      <c r="E9" s="18">
        <f>SUM(E6:E8)</f>
        <v/>
      </c>
      <c r="G9" s="19">
        <f>SUM(G6:G8)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2026-10-30T12:14:54Z</dcterms:created>
  <dcterms:modified xsi:type="dcterms:W3CDTF">2026-10-30T17:00:53Z</dcterms:modified>
</cp:coreProperties>
</file>