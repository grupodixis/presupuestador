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ativa Opciones" sheetId="1" state="visible" r:id="rId1"/>
    <sheet xmlns:r="http://schemas.openxmlformats.org/officeDocument/2006/relationships" name="Opción 1 - Galva + C5" sheetId="2" state="visible" r:id="rId2"/>
    <sheet xmlns:r="http://schemas.openxmlformats.org/officeDocument/2006/relationships" name="Opción 2 - Hierro + C5" sheetId="3" state="visible" r:id="rId3"/>
    <sheet xmlns:r="http://schemas.openxmlformats.org/officeDocument/2006/relationships" name="Escandallo Interno" sheetId="4" state="visible" r:id="rId4"/>
  </sheets>
  <definedNames/>
  <calcPr calcId="124519" fullCalcOnLoad="1"/>
</workbook>
</file>

<file path=xl/styles.xml><?xml version="1.0" encoding="utf-8"?>
<styleSheet xmlns="http://schemas.openxmlformats.org/spreadsheetml/2006/main">
  <numFmts count="1">
    <numFmt numFmtId="164" formatCode="#,##0.00 €"/>
  </numFmts>
  <fonts count="6">
    <font>
      <name val="Calibri"/>
      <family val="2"/>
      <color theme="1"/>
      <sz val="11"/>
      <scheme val="minor"/>
    </font>
    <font>
      <name val="Segoe UI"/>
      <b val="1"/>
      <color rgb="000F172A"/>
      <sz val="14"/>
    </font>
    <font>
      <name val="Segoe UI"/>
      <b val="1"/>
      <color rgb="00B45309"/>
      <sz val="11"/>
    </font>
    <font>
      <name val="Segoe UI"/>
      <b val="1"/>
      <sz val="9.5"/>
    </font>
    <font>
      <name val="Segoe UI"/>
      <sz val="9.5"/>
    </font>
    <font>
      <name val="Segoe UI"/>
      <b val="1"/>
      <color rgb="00FFFFFF"/>
      <sz val="10"/>
    </font>
  </fonts>
  <fills count="6">
    <fill>
      <patternFill/>
    </fill>
    <fill>
      <patternFill patternType="gray125"/>
    </fill>
    <fill>
      <patternFill patternType="solid">
        <fgColor rgb="00FEF3C7"/>
        <bgColor rgb="00FEF3C7"/>
      </patternFill>
    </fill>
    <fill>
      <patternFill patternType="solid">
        <fgColor rgb="000F172A"/>
        <bgColor rgb="000F172A"/>
      </patternFill>
    </fill>
    <fill>
      <patternFill patternType="solid">
        <fgColor rgb="00F8FAFC"/>
        <bgColor rgb="00F8FAFC"/>
      </patternFill>
    </fill>
    <fill>
      <patternFill patternType="solid">
        <fgColor rgb="00F1F5F9"/>
        <bgColor rgb="00F1F5F9"/>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double">
        <color rgb="000F172A"/>
      </bottom>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0" fontId="5" fillId="3" borderId="0" applyAlignment="1" pivotButton="0" quotePrefix="0" xfId="0">
      <alignment horizontal="left" vertical="center" wrapText="1"/>
    </xf>
    <xf numFmtId="0" fontId="5" fillId="3" borderId="0" applyAlignment="1" pivotButton="0" quotePrefix="0" xfId="0">
      <alignment horizontal="center" vertical="center" wrapText="1"/>
    </xf>
    <xf numFmtId="0" fontId="4" fillId="4" borderId="1" applyAlignment="1" pivotButton="0" quotePrefix="0" xfId="0">
      <alignment horizontal="left" vertical="center"/>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0" borderId="1" applyAlignment="1" pivotButton="0" quotePrefix="0" xfId="0">
      <alignment horizontal="left" vertical="center"/>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164" fontId="4" fillId="0" borderId="1" applyAlignment="1" pivotButton="0" quotePrefix="0" xfId="0">
      <alignment horizontal="right" vertical="center"/>
    </xf>
    <xf numFmtId="164" fontId="4" fillId="4" borderId="1" applyAlignment="1" pivotButton="0" quotePrefix="0" xfId="0">
      <alignment horizontal="right" vertical="center"/>
    </xf>
    <xf numFmtId="0" fontId="3" fillId="2" borderId="1" applyAlignment="1" pivotButton="0" quotePrefix="0" xfId="0">
      <alignment horizontal="left" vertical="center"/>
    </xf>
    <xf numFmtId="164" fontId="3" fillId="2" borderId="1" applyAlignment="1" pivotButton="0" quotePrefix="0" xfId="0">
      <alignment horizontal="right" vertical="center"/>
    </xf>
    <xf numFmtId="0" fontId="3" fillId="5" borderId="2" applyAlignment="1" pivotButton="0" quotePrefix="0" xfId="0">
      <alignment horizontal="left" vertical="center"/>
    </xf>
    <xf numFmtId="164" fontId="3" fillId="5" borderId="2" applyAlignment="1" pivotButton="0" quotePrefix="0" xfId="0">
      <alignment horizontal="right" vertical="center"/>
    </xf>
    <xf numFmtId="0" fontId="5" fillId="3" borderId="0" applyAlignment="1" pivotButton="0" quotePrefix="0" xfId="0">
      <alignment horizontal="center" vertical="center"/>
    </xf>
    <xf numFmtId="0" fontId="5" fillId="3" borderId="0" applyAlignment="1" pivotButton="0" quotePrefix="0" xfId="0">
      <alignment horizontal="left" vertical="center"/>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4" fontId="4" fillId="0" borderId="1" applyAlignment="1" pivotButton="0" quotePrefix="0" xfId="0">
      <alignment horizontal="right" vertical="top"/>
    </xf>
    <xf numFmtId="164" fontId="4" fillId="0" borderId="1" applyAlignment="1" pivotButton="0" quotePrefix="0" xfId="0">
      <alignment horizontal="right" vertical="top"/>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4" fontId="4" fillId="4" borderId="1" applyAlignment="1" pivotButton="0" quotePrefix="0" xfId="0">
      <alignment horizontal="right" vertical="top"/>
    </xf>
    <xf numFmtId="164" fontId="4" fillId="4" borderId="1" applyAlignment="1" pivotButton="0" quotePrefix="0" xfId="0">
      <alignment horizontal="right" vertical="top"/>
    </xf>
    <xf numFmtId="164" fontId="3" fillId="0" borderId="0" pivotButton="0" quotePrefix="0" xfId="0"/>
    <xf numFmtId="164" fontId="2" fillId="0" borderId="0" pivotButton="0" quotePrefix="0" xfId="0"/>
    <xf numFmtId="164" fontId="4" fillId="0" borderId="0" pivotButton="0" quotePrefix="0" xfId="0"/>
    <xf numFmtId="164" fontId="3" fillId="2" borderId="2" pivotButton="0" quotePrefix="0" xfId="0"/>
    <xf numFmtId="4" fontId="4" fillId="4" borderId="1" applyAlignment="1" pivotButton="0" quotePrefix="0" xfId="0">
      <alignment horizontal="right" vertical="center"/>
    </xf>
    <xf numFmtId="0" fontId="4" fillId="4" borderId="1" applyAlignment="1" pivotButton="0" quotePrefix="0" xfId="0">
      <alignment horizontal="center" vertical="center"/>
    </xf>
    <xf numFmtId="4" fontId="4" fillId="0" borderId="1" applyAlignment="1" pivotButton="0" quotePrefix="0" xfId="0">
      <alignment horizontal="right" vertical="center"/>
    </xf>
    <xf numFmtId="0" fontId="4"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showGridLines="1" workbookViewId="0">
      <selection activeCell="A1" sqref="A1"/>
    </sheetView>
  </sheetViews>
  <sheetFormatPr baseColWidth="8" defaultRowHeight="15"/>
  <cols>
    <col width="34" customWidth="1" min="1" max="1"/>
    <col width="38" customWidth="1" min="2" max="2"/>
    <col width="38" customWidth="1" min="3" max="3"/>
    <col width="38" customWidth="1" min="4" max="4"/>
  </cols>
  <sheetData>
    <row r="1">
      <c r="A1" s="1" t="inlineStr">
        <is>
          <t>HAM ESTRUCTURAS METÁLICAS MENORCA</t>
        </is>
      </c>
    </row>
    <row r="2">
      <c r="A2" s="2" t="inlineStr">
        <is>
          <t>PRESUPUESTO COMPARATIVO: P-2026-0048 | PLATAFORMA PASARELA CLH IA-OC-092</t>
        </is>
      </c>
    </row>
    <row r="4">
      <c r="A4" s="3" t="inlineStr">
        <is>
          <t>Cliente:</t>
        </is>
      </c>
      <c r="B4" s="4" t="inlineStr">
        <is>
          <t>Compañía Logística / Sector Industrial e Hidrocarburos</t>
        </is>
      </c>
    </row>
    <row r="5">
      <c r="A5" s="3" t="inlineStr">
        <is>
          <t>Proyecto:</t>
        </is>
      </c>
      <c r="B5" s="4" t="inlineStr">
        <is>
          <t>Pasarela metálica paso sobre tuberías (L=3.300 mm, Ancho=900 mm, H=1.000 mm, 2 escaleras de 4 peldaños)</t>
        </is>
      </c>
    </row>
    <row r="6">
      <c r="A6" s="3" t="inlineStr">
        <is>
          <t>Norma de Referencia:</t>
        </is>
      </c>
      <c r="B6" s="4" t="inlineStr">
        <is>
          <t>CLH IA-OC-092 Rev. 5 · Zancas UPN 160 · Barandillas RAL 1021 · Estructura RAL 9005</t>
        </is>
      </c>
    </row>
    <row r="7">
      <c r="A7" s="3" t="inlineStr">
        <is>
          <t>Fecha y Validez:</t>
        </is>
      </c>
      <c r="B7" s="4" t="inlineStr">
        <is>
          <t>29/10/2026 · Validez de la oferta: 30 días naturales</t>
        </is>
      </c>
    </row>
    <row r="8">
      <c r="A8" s="3" t="inlineStr">
        <is>
          <t>Ubicación:</t>
        </is>
      </c>
      <c r="B8" s="4" t="inlineStr">
        <is>
          <t>Planta / Terminal de Almacenamiento en Menorca (Ambiente Marino / Industrial C5-M)</t>
        </is>
      </c>
    </row>
    <row r="10">
      <c r="A10" s="5" t="inlineStr">
        <is>
          <t>RESUMEN EJECUTIVO Y ANÁLISIS DE ACABADOS (GALVANIZADO EN CALIENTE + C5 vs. HIERRO NORMAL + C5)</t>
        </is>
      </c>
    </row>
    <row r="12">
      <c r="A12" s="6" t="inlineStr">
        <is>
          <t>Parámetro / Concepto</t>
        </is>
      </c>
      <c r="B12" s="7" t="inlineStr">
        <is>
          <t>Opción 1: Galvanizado en Caliente + C5 (Dúplex)</t>
        </is>
      </c>
      <c r="C12" s="7" t="inlineStr">
        <is>
          <t>Opción 2: Hierro Normal + C5 (Pintura Tricapa)</t>
        </is>
      </c>
      <c r="D12" s="7" t="inlineStr">
        <is>
          <t>Diferencia / Valoración Técnica</t>
        </is>
      </c>
    </row>
    <row r="13">
      <c r="A13" s="8" t="inlineStr">
        <is>
          <t>Tratamiento Anticorrosivo Base</t>
        </is>
      </c>
      <c r="B13" s="9" t="inlineStr">
        <is>
          <t>Galvanizado en caliente por inmersión (UNE-EN ISO 1461, 70-85 µm zinc)</t>
        </is>
      </c>
      <c r="C13" s="9" t="inlineStr">
        <is>
          <t>Chorreado abrasivo Sa 2½ / Sa 3 (UNE-EN ISO 8501-1, rugosidad 50-75 µm)</t>
        </is>
      </c>
      <c r="D13" s="10" t="inlineStr">
        <is>
          <t>Opción 1 protege tubos y perfiles por dentro y por fuera</t>
        </is>
      </c>
    </row>
    <row r="14">
      <c r="A14" s="11" t="inlineStr">
        <is>
          <t>Sistema de Pintura C5</t>
        </is>
      </c>
      <c r="B14" s="12" t="inlineStr">
        <is>
          <t>Sistema Dúplex: Sweep blasting + Imprimación adherente epoxi + Intermedia MIO + Esmalte poliuretano alifático 2C UV</t>
        </is>
      </c>
      <c r="C14" s="12" t="inlineStr">
        <is>
          <t>Tricapa C5 s/ Nota 3 CLH: Imprimación etil silicato/epoxi zinc 70 µm + Epoxi MIO 100 µm + Poliuretano alifático 60 µm (DFT ≥ 240 µm)</t>
        </is>
      </c>
      <c r="D14" s="13" t="inlineStr">
        <is>
          <t>Ambas cumplen C5 con Negro RAL 9005 y Amarillo Seguridad RAL 1021</t>
        </is>
      </c>
    </row>
    <row r="15">
      <c r="A15" s="8" t="inlineStr">
        <is>
          <t>Rejilla y Peldaños (Tramex)</t>
        </is>
      </c>
      <c r="B15" s="9" t="inlineStr">
        <is>
          <t>Tramex 30x30/30x3 electrosoldado galvanizado en caliente con cantonera antideslizante</t>
        </is>
      </c>
      <c r="C15" s="9" t="inlineStr">
        <is>
          <t>Tramex 30x30/30x3 electrosoldado galvanizado en caliente con cantonera antideslizante</t>
        </is>
      </c>
      <c r="D15" s="10" t="inlineStr">
        <is>
          <t>Idéntico estándar homologado para tráfico industrial seguro</t>
        </is>
      </c>
    </row>
    <row r="16">
      <c r="A16" s="11" t="inlineStr">
        <is>
          <t>Resistencia a Picaduras / Golpes</t>
        </is>
      </c>
      <c r="B16" s="12" t="inlineStr">
        <is>
          <t>Excelente: Si la pintura se raya, el zinc subyacente evita la propagación del óxido</t>
        </is>
      </c>
      <c r="C16" s="12" t="inlineStr">
        <is>
          <t>Vulnerable: Si se golpea o raya el esmalte, el acero negro expuesto oxida rápidamente</t>
        </is>
      </c>
      <c r="D16" s="13" t="inlineStr">
        <is>
          <t>La Opción 1 duplica la tolerancia al trasiego operativo</t>
        </is>
      </c>
    </row>
    <row r="17">
      <c r="A17" s="8" t="inlineStr">
        <is>
          <t>Durabilidad Estimada en Menorca</t>
        </is>
      </c>
      <c r="B17" s="9" t="inlineStr">
        <is>
          <t>Superior a 25 años sin mantenimiento estructural mayor</t>
        </is>
      </c>
      <c r="C17" s="9" t="inlineStr">
        <is>
          <t>8 a 12 años (requiere repintado de mantenimiento local)</t>
        </is>
      </c>
      <c r="D17" s="10" t="inlineStr">
        <is>
          <t>Opción 1 ofrece el menor Coste de Ciclo de Vida (LCC)</t>
        </is>
      </c>
    </row>
    <row r="18">
      <c r="A18" s="11" t="inlineStr">
        <is>
          <t>Garantía del Tratamiento</t>
        </is>
      </c>
      <c r="B18" s="12" t="inlineStr">
        <is>
          <t>10 años en recubrimiento Dúplex / 5 años anticorrosión total</t>
        </is>
      </c>
      <c r="C18" s="12" t="inlineStr">
        <is>
          <t>3 años en sistema de pintura bajo mantenimiento regular</t>
        </is>
      </c>
      <c r="D18" s="13" t="inlineStr">
        <is>
          <t>Mayor tranquilidad para el responsable de planta</t>
        </is>
      </c>
    </row>
    <row r="19">
      <c r="A19" s="8" t="inlineStr">
        <is>
          <t>Plazo de Fabricación y Entrega</t>
        </is>
      </c>
      <c r="B19" s="9" t="inlineStr">
        <is>
          <t>4 semanas (taller + inmersión en planta de galvanizado + pintura en cabina)</t>
        </is>
      </c>
      <c r="C19" s="9" t="inlineStr">
        <is>
          <t>3 semanas (taller + granallado y pintura tricapa en cabina)</t>
        </is>
      </c>
      <c r="D19" s="10" t="inlineStr">
        <is>
          <t>Diferencia de solo 1 semana por proceso de galvanizado</t>
        </is>
      </c>
    </row>
    <row r="20">
      <c r="A20" s="11" t="inlineStr">
        <is>
          <t>Presupuesto Suministro (Taller/Obra)</t>
        </is>
      </c>
      <c r="B20" s="14" t="n">
        <v>7250</v>
      </c>
      <c r="C20" s="14" t="n">
        <v>6590</v>
      </c>
      <c r="D20" s="14">
        <f>B20-C20</f>
        <v/>
      </c>
    </row>
    <row r="21">
      <c r="A21" s="8" t="inlineStr">
        <is>
          <t>Montaje en Obra (Opcional)</t>
        </is>
      </c>
      <c r="B21" s="15" t="n">
        <v>1650</v>
      </c>
      <c r="C21" s="15" t="n">
        <v>1650</v>
      </c>
      <c r="D21" s="15">
        <f>B21-C21</f>
        <v/>
      </c>
    </row>
    <row r="22">
      <c r="A22" s="16" t="inlineStr">
        <is>
          <t>TOTAL PROYECTO (Base Imponible)</t>
        </is>
      </c>
      <c r="B22" s="17">
        <f>B20+B21</f>
        <v/>
      </c>
      <c r="C22" s="17">
        <f>C20+C21</f>
        <v/>
      </c>
      <c r="D22" s="17">
        <f>B22-C22</f>
        <v/>
      </c>
    </row>
    <row r="23">
      <c r="A23" s="8" t="inlineStr">
        <is>
          <t>IVA 21%</t>
        </is>
      </c>
      <c r="B23" s="15">
        <f>ROUND(B22*0.21, 2)</f>
        <v/>
      </c>
      <c r="C23" s="15">
        <f>ROUND(C22*0.21, 2)</f>
        <v/>
      </c>
      <c r="D23" s="15">
        <f>ROUND(D22*0.21, 2)</f>
        <v/>
      </c>
    </row>
    <row r="24">
      <c r="A24" s="18" t="inlineStr">
        <is>
          <t>TOTAL IVA INCLUIDO</t>
        </is>
      </c>
      <c r="B24" s="19">
        <f>B22+B23</f>
        <v/>
      </c>
      <c r="C24" s="19">
        <f>C22+C23</f>
        <v/>
      </c>
      <c r="D24" s="19">
        <f>D22+D23</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showGridLines="1" workbookViewId="0">
      <selection activeCell="A1" sqref="A1"/>
    </sheetView>
  </sheetViews>
  <sheetFormatPr baseColWidth="8" defaultRowHeight="15"/>
  <cols>
    <col width="12" customWidth="1" min="1" max="1"/>
    <col width="58" customWidth="1" min="2" max="2"/>
    <col width="10" customWidth="1" min="3" max="3"/>
    <col width="12" customWidth="1" min="4" max="4"/>
    <col width="20" customWidth="1" min="5" max="5"/>
    <col width="22" customWidth="1" min="6" max="6"/>
  </cols>
  <sheetData>
    <row r="1">
      <c r="A1" s="1" t="inlineStr">
        <is>
          <t>HAM ESTRUCTURAS METÁLICAS MENORCA</t>
        </is>
      </c>
    </row>
    <row r="2">
      <c r="A2" s="2" t="inlineStr">
        <is>
          <t>OPCIÓN 1: ACERO GALVANIZADO EN CALIENTE + ACABADO PINTURA C5 (SISTEMA DÚPLEX)</t>
        </is>
      </c>
    </row>
    <row r="4">
      <c r="A4" s="3" t="inlineStr">
        <is>
          <t>Código Presupuesto:</t>
        </is>
      </c>
      <c r="B4" s="4" t="inlineStr">
        <is>
          <t>P-2026-0048-OP1</t>
        </is>
      </c>
    </row>
    <row r="5">
      <c r="A5" s="3" t="inlineStr">
        <is>
          <t>Solución Técnica:</t>
        </is>
      </c>
      <c r="B5" s="4" t="inlineStr">
        <is>
          <t>Pasarela salvatuberías según plano CLH IA-OC-092 Rev. 5 con protección máxima Dúplex (ISO 1461 + ISO 12944 C5)</t>
        </is>
      </c>
    </row>
    <row r="7">
      <c r="A7" s="20" t="inlineStr">
        <is>
          <t>Partida</t>
        </is>
      </c>
      <c r="B7" s="21" t="inlineStr">
        <is>
          <t>Descripción Técnica Detallada</t>
        </is>
      </c>
      <c r="C7" s="20" t="inlineStr">
        <is>
          <t>Unidad</t>
        </is>
      </c>
      <c r="D7" s="20" t="inlineStr">
        <is>
          <t>Cantidad</t>
        </is>
      </c>
      <c r="E7" s="20" t="inlineStr">
        <is>
          <t>Precio Unitario (€)</t>
        </is>
      </c>
      <c r="F7" s="20" t="inlineStr">
        <is>
          <t>Importe (€)</t>
        </is>
      </c>
    </row>
    <row r="8">
      <c r="A8" s="22" t="inlineStr">
        <is>
          <t>01.01</t>
        </is>
      </c>
      <c r="B8" s="23" t="inlineStr">
        <is>
          <t>Fabricación en taller de estructura principal de pasarela en acero S275JR: 2 zancas longitudinales en perfil UPN 160 (L=3.300 mm), 4 zancas inclinadas en UPN 160 para escaleras (desarrollo 1.359 mm cada una), travesaños de arriostramiento en UPN 140, rodapié de seguridad en pletina 150x6 mm soldado con cordones intermitentes según Nota 6, y 4 angulares de apoyo L 100x100x10 mm con taladros Ø24 mm para pernos de anclaje Ø20 mm. Incluye taladros y desahogos de purga para galvanizado.</t>
        </is>
      </c>
      <c r="C8" s="22" t="inlineStr">
        <is>
          <t>ud</t>
        </is>
      </c>
      <c r="D8" s="24" t="n">
        <v>1</v>
      </c>
      <c r="E8" s="25" t="n">
        <v>2450</v>
      </c>
      <c r="F8" s="25">
        <f>ROUND(D8*E8, 2)</f>
        <v/>
      </c>
    </row>
    <row r="9">
      <c r="A9" s="26" t="inlineStr">
        <is>
          <t>01.02</t>
        </is>
      </c>
      <c r="B9" s="27" t="inlineStr">
        <is>
          <t>Fabricación de barandillas de seguridad perimetrales (H=1.100 mm): montantes en angular L 80x80x8 mm espaciados ≤ 1.300 mm según plano, pasamanos superior en tubo de acero Ø 1¼" Sch. 40 (Ø 42,4x3,56 mm), barra intermedia de protección a 590 mm de altura y codos terminales de retorno R=100 mm según detalle normalizado CLH.</t>
        </is>
      </c>
      <c r="C9" s="26" t="inlineStr">
        <is>
          <t>ud</t>
        </is>
      </c>
      <c r="D9" s="28" t="n">
        <v>1</v>
      </c>
      <c r="E9" s="29" t="n">
        <v>1380</v>
      </c>
      <c r="F9" s="29">
        <f>ROUND(D9*E9, 2)</f>
        <v/>
      </c>
    </row>
    <row r="10">
      <c r="A10" s="22" t="inlineStr">
        <is>
          <t>01.03</t>
        </is>
      </c>
      <c r="B10" s="23" t="inlineStr">
        <is>
          <t>Tratamiento de Galvanizado en Caliente por inmersión según UNE-EN ISO 1461 (espesor medio 70-85 µm de zinc a 450 °C) para toda la estructura de perfiles, tubos y barandillas (aprox. 600 kg). Incluye transportes marítimos y terrestres de ida y vuelta a planta galvanizadora de península.</t>
        </is>
      </c>
      <c r="C10" s="22" t="inlineStr">
        <is>
          <t>lote</t>
        </is>
      </c>
      <c r="D10" s="24" t="n">
        <v>1</v>
      </c>
      <c r="E10" s="25" t="n">
        <v>1150</v>
      </c>
      <c r="F10" s="25">
        <f>ROUND(D10*E10, 2)</f>
        <v/>
      </c>
    </row>
    <row r="11">
      <c r="A11" s="26" t="inlineStr">
        <is>
          <t>01.04</t>
        </is>
      </c>
      <c r="B11" s="27" t="inlineStr">
        <is>
          <t>Tratamiento de Pintura C5 Dúplex sobre superficie galvanizada: desengrasado químico, barrido abrasivo suave (sweep blasting) para crear perfil de anclaje, 1 capa de imprimación epoxi adherente (40-50 µm), 1 capa intermedia de epoxi con óxido de hierro micáceo (MIO 80-100 µm) y capa final de acabado en esmalte poliuretano alifático 2C (50-60 µm). Colores: Estructura y rodapié en Negro RAL 9005 y Barandillas en Amarillo Seguridad RAL 1021.</t>
        </is>
      </c>
      <c r="C11" s="26" t="inlineStr">
        <is>
          <t>lote</t>
        </is>
      </c>
      <c r="D11" s="28" t="n">
        <v>1</v>
      </c>
      <c r="E11" s="29" t="n">
        <v>1180</v>
      </c>
      <c r="F11" s="29">
        <f>ROUND(D11*E11, 2)</f>
        <v/>
      </c>
    </row>
    <row r="12">
      <c r="A12" s="22" t="inlineStr">
        <is>
          <t>01.05</t>
        </is>
      </c>
      <c r="B12" s="23" t="inlineStr">
        <is>
          <t>Suministro de piso y peldaños en rejilla electrofundida Tramex antideslizante galvanizada en caliente: paños de pasarela en 30x30 con pletina portante de 30x3 mm (superficie útil 3,30 x 0,90 m = 2,97 m²) y 8 peldaños normalizados de 900 x 230 mm con cantonera frontal perforada de seguridad y pletinas laterales de fijación.</t>
        </is>
      </c>
      <c r="C12" s="22" t="inlineStr">
        <is>
          <t>lote</t>
        </is>
      </c>
      <c r="D12" s="24" t="n">
        <v>1</v>
      </c>
      <c r="E12" s="25" t="n">
        <v>1090</v>
      </c>
      <c r="F12" s="25">
        <f>ROUND(D12*E12, 2)</f>
        <v/>
      </c>
    </row>
    <row r="13">
      <c r="A13" s="26" t="inlineStr">
        <is>
          <t>01.06</t>
        </is>
      </c>
      <c r="B13" s="27" t="inlineStr">
        <is>
          <t>Montaje e instalación en campo (Opcional): desplazamiento a planta, camión grúa pluma para descarga y posicionado milimétrico sobre las tuberías existentes, replanteo de apoyos, perforación y fijación química con varilla roscada Inox A4 / taco químico de alta resistencia M20, nivelación de zancas, atornillado de tramex y retoque final de pintura en uniones de obra.</t>
        </is>
      </c>
      <c r="C13" s="26" t="inlineStr">
        <is>
          <t>lote</t>
        </is>
      </c>
      <c r="D13" s="28" t="n">
        <v>1</v>
      </c>
      <c r="E13" s="29" t="n">
        <v>1650</v>
      </c>
      <c r="F13" s="29">
        <f>ROUND(D13*E13, 2)</f>
        <v/>
      </c>
    </row>
    <row r="15">
      <c r="E15" s="3" t="inlineStr">
        <is>
          <t>Subtotal Suministro (Partidas 01.01 a 01.05):</t>
        </is>
      </c>
      <c r="F15" s="30">
        <f>SUM(F8:F12)</f>
        <v/>
      </c>
    </row>
    <row r="16">
      <c r="E16" s="3" t="inlineStr">
        <is>
          <t>Partida Montaje en Obra (Partida 01.06):</t>
        </is>
      </c>
      <c r="F16" s="30">
        <f>F13</f>
        <v/>
      </c>
    </row>
    <row r="17">
      <c r="E17" s="2" t="inlineStr">
        <is>
          <t>BASE IMPONIBLE TOTAL (Opción 1):</t>
        </is>
      </c>
      <c r="F17" s="31">
        <f>F15+F16</f>
        <v/>
      </c>
    </row>
    <row r="18">
      <c r="E18" s="4" t="inlineStr">
        <is>
          <t>IVA (21%):</t>
        </is>
      </c>
      <c r="F18" s="32">
        <f>ROUND(F17*0.21, 2)</f>
        <v/>
      </c>
    </row>
    <row r="19">
      <c r="E19" s="5" t="inlineStr">
        <is>
          <t>TOTAL OPCIÓN 1 (IVA INCLUIDO):</t>
        </is>
      </c>
      <c r="F19" s="33">
        <f>F17+F18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showGridLines="1" workbookViewId="0">
      <selection activeCell="A1" sqref="A1"/>
    </sheetView>
  </sheetViews>
  <sheetFormatPr baseColWidth="8" defaultRowHeight="15"/>
  <cols>
    <col width="12" customWidth="1" min="1" max="1"/>
    <col width="58" customWidth="1" min="2" max="2"/>
    <col width="10" customWidth="1" min="3" max="3"/>
    <col width="12" customWidth="1" min="4" max="4"/>
    <col width="20" customWidth="1" min="5" max="5"/>
    <col width="22" customWidth="1" min="6" max="6"/>
  </cols>
  <sheetData>
    <row r="1">
      <c r="A1" s="1" t="inlineStr">
        <is>
          <t>HAM ESTRUCTURAS METÁLICAS MENORCA</t>
        </is>
      </c>
    </row>
    <row r="2">
      <c r="A2" s="2" t="inlineStr">
        <is>
          <t>OPCIÓN 2: ACERO AL CARBONO (HIERRO NORMAL CHORREADO) + ACABADO PINTURA C5</t>
        </is>
      </c>
    </row>
    <row r="4">
      <c r="A4" s="3" t="inlineStr">
        <is>
          <t>Código Presupuesto:</t>
        </is>
      </c>
      <c r="B4" s="4" t="inlineStr">
        <is>
          <t>P-2026-0048-OP2</t>
        </is>
      </c>
    </row>
    <row r="5">
      <c r="A5" s="3" t="inlineStr">
        <is>
          <t>Solución Técnica:</t>
        </is>
      </c>
      <c r="B5" s="4" t="inlineStr">
        <is>
          <t>Pasarela salvatuberías según plano CLH IA-OC-092 Rev. 5 con sistema de chorreado Sa 2½/3 y pintura C5 tricapa</t>
        </is>
      </c>
    </row>
    <row r="7">
      <c r="A7" s="20" t="inlineStr">
        <is>
          <t>Partida</t>
        </is>
      </c>
      <c r="B7" s="21" t="inlineStr">
        <is>
          <t>Descripción Técnica Detallada</t>
        </is>
      </c>
      <c r="C7" s="20" t="inlineStr">
        <is>
          <t>Unidad</t>
        </is>
      </c>
      <c r="D7" s="20" t="inlineStr">
        <is>
          <t>Cantidad</t>
        </is>
      </c>
      <c r="E7" s="20" t="inlineStr">
        <is>
          <t>Precio Unitario (€)</t>
        </is>
      </c>
      <c r="F7" s="20" t="inlineStr">
        <is>
          <t>Importe (€)</t>
        </is>
      </c>
    </row>
    <row r="8">
      <c r="A8" s="22" t="inlineStr">
        <is>
          <t>02.01</t>
        </is>
      </c>
      <c r="B8" s="23" t="inlineStr">
        <is>
          <t>Fabricación en taller de estructura principal de pasarela en perfiles laminados de acero al carbono S275JR: 2 zancas longitudinales UPN 160 (L=3.300 mm), 4 zancas inclinadas de escalera UPN 160 (1.359 mm), travesaños de arriostramiento en UPN 140, rodapié de chapa/pletina 150x6 mm soldado con cordones intermitentes de 20 mm cada 300 mm (Nota 6) y 4 placas de apoyo angular L 100x100x10 mm con taladros Ø24 mm.</t>
        </is>
      </c>
      <c r="C8" s="22" t="inlineStr">
        <is>
          <t>ud</t>
        </is>
      </c>
      <c r="D8" s="24" t="n">
        <v>1</v>
      </c>
      <c r="E8" s="25" t="n">
        <v>2450</v>
      </c>
      <c r="F8" s="25">
        <f>ROUND(D8*E8, 2)</f>
        <v/>
      </c>
    </row>
    <row r="9">
      <c r="A9" s="26" t="inlineStr">
        <is>
          <t>02.02</t>
        </is>
      </c>
      <c r="B9" s="27" t="inlineStr">
        <is>
          <t>Fabricación de barandillas de protección perimetral (H=1.100 mm): montantes en angular L 80x80x8 mm (espaciados ≤ 1.300 mm), pasamanos superior en tubo de acero Ø 1¼" Sch. 40 (Ø 42,4x3,56 mm), tubo intermedio a 590 mm de cota y codos terminales de retorno R=100 mm.</t>
        </is>
      </c>
      <c r="C9" s="26" t="inlineStr">
        <is>
          <t>ud</t>
        </is>
      </c>
      <c r="D9" s="28" t="n">
        <v>1</v>
      </c>
      <c r="E9" s="29" t="n">
        <v>1380</v>
      </c>
      <c r="F9" s="29">
        <f>ROUND(D9*E9, 2)</f>
        <v/>
      </c>
    </row>
    <row r="10">
      <c r="A10" s="22" t="inlineStr">
        <is>
          <t>02.03</t>
        </is>
      </c>
      <c r="B10" s="23" t="inlineStr">
        <is>
          <t>Tratamiento superficial mediante chorreado abrasivo Sa 2½ / Sa 3 y Sistema de Pintura C5 Tricapa según especificación Nota 3 del estándar CLH IA-OC-092: chorreado abrasivo al grado Sa 3 (UNE-EN ISO 8501-1), 1 capa de imprimación de etil silicato rico en zinc o epoxi rico en zinc con un mínimo del 70% de zinc puro según UNE 48293 (70-80 µm DFT), 1 capa intermedia de epoxi poliamida de alta barrera con óxido de hierro micáceo MIO (100-120 µm DFT) y capa final de esmalte poliuretano alifático 2C resistente a radiación UV (50-60 µm DFT). Espesor total seco DFT ≥ 240 µm. Colores: Estructura en Negro RAL 9005 y Barandillas en Amarillo Seguridad RAL 1021.</t>
        </is>
      </c>
      <c r="C10" s="22" t="inlineStr">
        <is>
          <t>lote</t>
        </is>
      </c>
      <c r="D10" s="24" t="n">
        <v>1</v>
      </c>
      <c r="E10" s="25" t="n">
        <v>1670</v>
      </c>
      <c r="F10" s="25">
        <f>ROUND(D10*E10, 2)</f>
        <v/>
      </c>
    </row>
    <row r="11">
      <c r="A11" s="26" t="inlineStr">
        <is>
          <t>02.04</t>
        </is>
      </c>
      <c r="B11" s="27" t="inlineStr">
        <is>
          <t>Suministro de piso y peldaños en rejilla electrofundida Tramex antideslizante galvanizada en caliente de fábrica: tramo horizontal de 3,30 x 0,90 m en malla 30x30 con pletina portante 30x3 mm (2,97 m²) y 8 peldaños normalizados de 900 x 230 mm con cantonera frontal perforada y pletinas laterales para atornillar a zancas.</t>
        </is>
      </c>
      <c r="C11" s="26" t="inlineStr">
        <is>
          <t>lote</t>
        </is>
      </c>
      <c r="D11" s="28" t="n">
        <v>1</v>
      </c>
      <c r="E11" s="29" t="n">
        <v>1090</v>
      </c>
      <c r="F11" s="29">
        <f>ROUND(D11*E11, 2)</f>
        <v/>
      </c>
    </row>
    <row r="12">
      <c r="A12" s="22" t="inlineStr">
        <is>
          <t>02.05</t>
        </is>
      </c>
      <c r="B12" s="23" t="inlineStr">
        <is>
          <t>Montaje e instalación en campo (Opcional): grúa pluma para maniobra e izado de pasarela sobre tuberías, replanteo, taladrado y fijación química M20 con varilla Inox A4, nivelación milimétrica, fijación de peldaños y retoque final de pintura en puntos de soldadura o anclaje.</t>
        </is>
      </c>
      <c r="C12" s="22" t="inlineStr">
        <is>
          <t>lote</t>
        </is>
      </c>
      <c r="D12" s="24" t="n">
        <v>1</v>
      </c>
      <c r="E12" s="25" t="n">
        <v>1650</v>
      </c>
      <c r="F12" s="25">
        <f>ROUND(D12*E12, 2)</f>
        <v/>
      </c>
    </row>
    <row r="14">
      <c r="E14" s="3" t="inlineStr">
        <is>
          <t>Subtotal Suministro (Partidas 02.01 a 02.04):</t>
        </is>
      </c>
      <c r="F14" s="30">
        <f>SUM(F8:F11)</f>
        <v/>
      </c>
    </row>
    <row r="15">
      <c r="E15" s="3" t="inlineStr">
        <is>
          <t>Partida Montaje en Obra (Partida 02.05):</t>
        </is>
      </c>
      <c r="F15" s="30">
        <f>F12</f>
        <v/>
      </c>
    </row>
    <row r="16">
      <c r="E16" s="2" t="inlineStr">
        <is>
          <t>BASE IMPONIBLE TOTAL (Opción 2):</t>
        </is>
      </c>
      <c r="F16" s="31">
        <f>F14+F15</f>
        <v/>
      </c>
    </row>
    <row r="17">
      <c r="E17" s="4" t="inlineStr">
        <is>
          <t>IVA (21%):</t>
        </is>
      </c>
      <c r="F17" s="32">
        <f>ROUND(F16*0.21, 2)</f>
        <v/>
      </c>
    </row>
    <row r="18">
      <c r="E18" s="5" t="inlineStr">
        <is>
          <t>TOTAL OPCIÓN 2 (IVA INCLUIDO):</t>
        </is>
      </c>
      <c r="F18" s="33">
        <f>F16+F17</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showGridLines="1" workbookViewId="0">
      <selection activeCell="A1" sqref="A1"/>
    </sheetView>
  </sheetViews>
  <sheetFormatPr baseColWidth="8" defaultRowHeight="15"/>
  <cols>
    <col width="22" customWidth="1" min="1" max="1"/>
    <col width="54" customWidth="1" min="2" max="2"/>
    <col width="12" customWidth="1" min="3" max="3"/>
    <col width="10" customWidth="1" min="4" max="4"/>
    <col width="18" customWidth="1" min="5" max="5"/>
    <col width="20" customWidth="1" min="6" max="6"/>
  </cols>
  <sheetData>
    <row r="1">
      <c r="A1" s="1" t="inlineStr">
        <is>
          <t>ESCANDALLO INTERNO DE COSTES Y MEDICIÓN DE MATERIALES</t>
        </is>
      </c>
    </row>
    <row r="2">
      <c r="A2" s="2" t="inlineStr">
        <is>
          <t>Desglose técnico de materiales, mano de obra de taller, tratamientos y márgenes</t>
        </is>
      </c>
    </row>
    <row r="4">
      <c r="A4" s="21" t="inlineStr">
        <is>
          <t>Categoría / Material</t>
        </is>
      </c>
      <c r="B4" s="21" t="inlineStr">
        <is>
          <t>Detalle / Especificación</t>
        </is>
      </c>
      <c r="C4" s="20" t="inlineStr">
        <is>
          <t>Medición</t>
        </is>
      </c>
      <c r="D4" s="20" t="inlineStr">
        <is>
          <t>Unidad</t>
        </is>
      </c>
      <c r="E4" s="20" t="inlineStr">
        <is>
          <t>Coste Unit. (€)</t>
        </is>
      </c>
      <c r="F4" s="20" t="inlineStr">
        <is>
          <t>Coste Total (€)</t>
        </is>
      </c>
    </row>
    <row r="5">
      <c r="A5" s="8" t="inlineStr">
        <is>
          <t>Material Acero</t>
        </is>
      </c>
      <c r="B5" s="8" t="inlineStr">
        <is>
          <t>Zancas longitudinales e inclinadas en UPN 160 (18,8 kg/m · 12,04 ml)</t>
        </is>
      </c>
      <c r="C5" s="34" t="n">
        <v>226.35</v>
      </c>
      <c r="D5" s="35" t="inlineStr">
        <is>
          <t>kg</t>
        </is>
      </c>
      <c r="E5" s="15" t="n">
        <v>1.85</v>
      </c>
      <c r="F5" s="15">
        <f>C5*E5</f>
        <v/>
      </c>
    </row>
    <row r="6">
      <c r="A6" s="11" t="inlineStr">
        <is>
          <t>Material Acero</t>
        </is>
      </c>
      <c r="B6" s="11" t="inlineStr">
        <is>
          <t>Travesaños de rigidización en UPN 140 (16,0 kg/m · 5,40 ml)</t>
        </is>
      </c>
      <c r="C6" s="36" t="n">
        <v>86.40000000000001</v>
      </c>
      <c r="D6" s="37" t="inlineStr">
        <is>
          <t>kg</t>
        </is>
      </c>
      <c r="E6" s="14" t="n">
        <v>1.85</v>
      </c>
      <c r="F6" s="14">
        <f>C6*E6</f>
        <v/>
      </c>
    </row>
    <row r="7">
      <c r="A7" s="8" t="inlineStr">
        <is>
          <t>Material Acero</t>
        </is>
      </c>
      <c r="B7" s="8" t="inlineStr">
        <is>
          <t>Rodapié de seguridad en pletina 150x6 mm (7,07 kg/m · 7,40 ml)</t>
        </is>
      </c>
      <c r="C7" s="34" t="n">
        <v>52.32</v>
      </c>
      <c r="D7" s="35" t="inlineStr">
        <is>
          <t>kg</t>
        </is>
      </c>
      <c r="E7" s="15" t="n">
        <v>1.8</v>
      </c>
      <c r="F7" s="15">
        <f>C7*E7</f>
        <v/>
      </c>
    </row>
    <row r="8">
      <c r="A8" s="11" t="inlineStr">
        <is>
          <t>Material Acero</t>
        </is>
      </c>
      <c r="B8" s="11" t="inlineStr">
        <is>
          <t>Montantes barandilla en angular L 80x80x8 mm (9,63 kg/m · 11,50 ml)</t>
        </is>
      </c>
      <c r="C8" s="36" t="n">
        <v>110.75</v>
      </c>
      <c r="D8" s="37" t="inlineStr">
        <is>
          <t>kg</t>
        </is>
      </c>
      <c r="E8" s="14" t="n">
        <v>1.85</v>
      </c>
      <c r="F8" s="14">
        <f>C8*E8</f>
        <v/>
      </c>
    </row>
    <row r="9">
      <c r="A9" s="8" t="inlineStr">
        <is>
          <t>Material Acero</t>
        </is>
      </c>
      <c r="B9" s="8" t="inlineStr">
        <is>
          <t>Pasamanos y barra intermedia tubo Ø 1¼" Sch. 40 (3,38 kg/m · 25,64 ml)</t>
        </is>
      </c>
      <c r="C9" s="34" t="n">
        <v>86.66</v>
      </c>
      <c r="D9" s="35" t="inlineStr">
        <is>
          <t>kg</t>
        </is>
      </c>
      <c r="E9" s="15" t="n">
        <v>2.1</v>
      </c>
      <c r="F9" s="15">
        <f>C9*E9</f>
        <v/>
      </c>
    </row>
    <row r="10">
      <c r="A10" s="11" t="inlineStr">
        <is>
          <t>Material Acero</t>
        </is>
      </c>
      <c r="B10" s="11" t="inlineStr">
        <is>
          <t>Placas de anclaje L 100x100x10 y cartelas de rigidización en quiebros</t>
        </is>
      </c>
      <c r="C10" s="36" t="n">
        <v>34</v>
      </c>
      <c r="D10" s="37" t="inlineStr">
        <is>
          <t>kg</t>
        </is>
      </c>
      <c r="E10" s="14" t="n">
        <v>2.2</v>
      </c>
      <c r="F10" s="14">
        <f>C10*E10</f>
        <v/>
      </c>
    </row>
    <row r="11">
      <c r="A11" s="8" t="inlineStr">
        <is>
          <t>Piso y Peldaños</t>
        </is>
      </c>
      <c r="B11" s="8" t="inlineStr">
        <is>
          <t>Rejilla Tramex 30x30/30x3 galvanizada plataforma (2,97 m²) + 8 peldaños</t>
        </is>
      </c>
      <c r="C11" s="34" t="n">
        <v>1</v>
      </c>
      <c r="D11" s="35" t="inlineStr">
        <is>
          <t>lote</t>
        </is>
      </c>
      <c r="E11" s="15" t="n">
        <v>680</v>
      </c>
      <c r="F11" s="15">
        <f>C11*E11</f>
        <v/>
      </c>
    </row>
    <row r="12">
      <c r="A12" s="11" t="inlineStr">
        <is>
          <t>Consumibles Taller</t>
        </is>
      </c>
      <c r="B12" s="11" t="inlineStr">
        <is>
          <t>Discos de corte, desbaste, gas mezcla CO2-Argón, hilo MIG y tornillería A4</t>
        </is>
      </c>
      <c r="C12" s="36" t="n">
        <v>1</v>
      </c>
      <c r="D12" s="37" t="inlineStr">
        <is>
          <t>lote</t>
        </is>
      </c>
      <c r="E12" s="14" t="n">
        <v>190</v>
      </c>
      <c r="F12" s="14">
        <f>C12*E12</f>
        <v/>
      </c>
    </row>
    <row r="13">
      <c r="A13" s="8" t="inlineStr">
        <is>
          <t>Mano de Obra Taller</t>
        </is>
      </c>
      <c r="B13" s="8" t="inlineStr">
        <is>
          <t>Oficial 1ª Taller: corte, preparación ingletes, taladrado Ø24 y quiebros</t>
        </is>
      </c>
      <c r="C13" s="34" t="n">
        <v>16</v>
      </c>
      <c r="D13" s="35" t="inlineStr">
        <is>
          <t>h</t>
        </is>
      </c>
      <c r="E13" s="15" t="n">
        <v>40</v>
      </c>
      <c r="F13" s="15">
        <f>C13*E13</f>
        <v/>
      </c>
    </row>
    <row r="14">
      <c r="A14" s="11" t="inlineStr">
        <is>
          <t>Mano de Obra Taller</t>
        </is>
      </c>
      <c r="B14" s="11" t="inlineStr">
        <is>
          <t>Oficial 1ª Soldador homologado: armado, soldadura cateto 0,7 y repaso</t>
        </is>
      </c>
      <c r="C14" s="36" t="n">
        <v>22</v>
      </c>
      <c r="D14" s="37" t="inlineStr">
        <is>
          <t>h</t>
        </is>
      </c>
      <c r="E14" s="14" t="n">
        <v>40</v>
      </c>
      <c r="F14" s="14">
        <f>C14*E14</f>
        <v/>
      </c>
    </row>
    <row r="15">
      <c r="A15" s="8" t="inlineStr">
        <is>
          <t>Tratamiento Opción 1</t>
        </is>
      </c>
      <c r="B15" s="8" t="inlineStr">
        <is>
          <t>Galvanizado en caliente UNE-EN ISO 1461 (~600 kg con portes marítimos)</t>
        </is>
      </c>
      <c r="C15" s="34" t="n">
        <v>1</v>
      </c>
      <c r="D15" s="35" t="inlineStr">
        <is>
          <t>lote</t>
        </is>
      </c>
      <c r="E15" s="15" t="n">
        <v>780</v>
      </c>
      <c r="F15" s="15">
        <f>C15*E15</f>
        <v/>
      </c>
    </row>
    <row r="16">
      <c r="A16" s="11" t="inlineStr">
        <is>
          <t>Tratamiento Opción 1</t>
        </is>
      </c>
      <c r="B16" s="11" t="inlineStr">
        <is>
          <t>Pintura Dúplex C5 (sweep blasting + imprimación + intermedia MIO + poliuretano)</t>
        </is>
      </c>
      <c r="C16" s="36" t="n">
        <v>1</v>
      </c>
      <c r="D16" s="37" t="inlineStr">
        <is>
          <t>lote</t>
        </is>
      </c>
      <c r="E16" s="14" t="n">
        <v>860</v>
      </c>
      <c r="F16" s="14">
        <f>C16*E16</f>
        <v/>
      </c>
    </row>
    <row r="17">
      <c r="A17" s="8" t="inlineStr">
        <is>
          <t>Tratamiento Opción 2</t>
        </is>
      </c>
      <c r="B17" s="8" t="inlineStr">
        <is>
          <t>Chorreado abrasivo Sa 3 + Sistema C5 tricapa según Nota 3 CLH</t>
        </is>
      </c>
      <c r="C17" s="34" t="n">
        <v>1</v>
      </c>
      <c r="D17" s="35" t="inlineStr">
        <is>
          <t>lote</t>
        </is>
      </c>
      <c r="E17" s="15" t="n">
        <v>1180</v>
      </c>
      <c r="F17" s="15">
        <f>C17*E17</f>
        <v/>
      </c>
    </row>
    <row r="18">
      <c r="A18" s="11" t="inlineStr">
        <is>
          <t>Montaje Campo</t>
        </is>
      </c>
      <c r="B18" s="11" t="inlineStr">
        <is>
          <t>Equipo de montaje 2 operarios en planta (2 jornadas de 8h)</t>
        </is>
      </c>
      <c r="C18" s="36" t="n">
        <v>32</v>
      </c>
      <c r="D18" s="37" t="inlineStr">
        <is>
          <t>h</t>
        </is>
      </c>
      <c r="E18" s="14" t="n">
        <v>42</v>
      </c>
      <c r="F18" s="14">
        <f>C18*E18</f>
        <v/>
      </c>
    </row>
    <row r="19">
      <c r="A19" s="8" t="inlineStr">
        <is>
          <t>Medios Auxiliares</t>
        </is>
      </c>
      <c r="B19" s="8" t="inlineStr">
        <is>
          <t>Camión grúa pluma para posicionamiento milimétrico sobre tuberías</t>
        </is>
      </c>
      <c r="C19" s="34" t="n">
        <v>1</v>
      </c>
      <c r="D19" s="35" t="inlineStr">
        <is>
          <t>lote</t>
        </is>
      </c>
      <c r="E19" s="15" t="n">
        <v>450</v>
      </c>
      <c r="F19" s="15">
        <f>C19*E19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2026-10-29T12:03:18Z</dcterms:created>
  <dcterms:modified xmlns:dcterms="http://purl.org/dc/terms/" xmlns:xsi="http://www.w3.org/2001/XMLSchema-instance" xsi:type="dcterms:W3CDTF">2026-10-29T12:03:18Z</dcterms:modified>
</cp:coreProperties>
</file>