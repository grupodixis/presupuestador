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Oferta" sheetId="1" state="visible" r:id="rId1"/>
    <sheet xmlns:r="http://schemas.openxmlformats.org/officeDocument/2006/relationships" name="Desglose Part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0"/>
    </font>
    <font>
      <sz val="10"/>
    </font>
    <font>
      <b val="1"/>
      <color rgb="001F4E78"/>
      <sz val="12"/>
    </font>
    <font>
      <b val="1"/>
      <color rgb="00FFFFFF"/>
      <sz val="10"/>
    </font>
    <font>
      <b val="1"/>
      <sz val="11"/>
    </font>
    <font>
      <name val="Calibri"/>
      <b val="1"/>
      <color rgb="00FFFFFF"/>
      <sz val="13"/>
    </font>
    <font>
      <b val="1"/>
    </font>
    <font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center"/>
    </xf>
    <xf numFmtId="164" fontId="7" fillId="4" borderId="1" applyAlignment="1" pivotButton="0" quotePrefix="0" xfId="0">
      <alignment horizontal="right"/>
    </xf>
    <xf numFmtId="0" fontId="6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10" fontId="3" fillId="4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9" fillId="4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164" fontId="1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20" customWidth="1" min="4" max="4"/>
    <col width="22" customWidth="1" min="5" max="5"/>
    <col width="22" customWidth="1" min="6" max="6"/>
  </cols>
  <sheetData>
    <row r="1" ht="30" customHeight="1">
      <c r="A1" s="1" t="inlineStr">
        <is>
          <t>DIXIS RECURSOS Y SOLUCIONES S.L. - OFERTA DE LICITACIÓN</t>
        </is>
      </c>
    </row>
    <row r="2" ht="24" customHeight="1">
      <c r="A2" s="2" t="inlineStr">
        <is>
          <t>EXP. 37/2026 - OBRAS DE SUSTITUCIÓN Y RETIRADA DE LA CUBIERTA DE AMIANTO EN SANT LLUÍS</t>
        </is>
      </c>
    </row>
    <row r="3"/>
    <row r="4">
      <c r="A4" s="3" t="inlineStr">
        <is>
          <t>Organismo Licita:</t>
        </is>
      </c>
      <c r="B4" s="4" t="inlineStr">
        <is>
          <t>Ajuntament de Sant Lluís (Illes Balears)</t>
        </is>
      </c>
    </row>
    <row r="5">
      <c r="A5" s="3" t="inlineStr">
        <is>
          <t>Ubicación Obra:</t>
        </is>
      </c>
      <c r="B5" s="4" t="inlineStr">
        <is>
          <t>Carrer del Sol, 7, Sant Lluís</t>
        </is>
      </c>
    </row>
    <row r="6">
      <c r="A6" s="3" t="inlineStr">
        <is>
          <t>Empresa Licitadora:</t>
        </is>
      </c>
      <c r="B6" s="4" t="inlineStr">
        <is>
          <t>Dixis Recursos y Soluciones S.L. (NIF: B57825432)</t>
        </is>
      </c>
    </row>
    <row r="7">
      <c r="A7" s="3" t="inlineStr">
        <is>
          <t>Representante:</t>
        </is>
      </c>
      <c r="B7" s="4" t="inlineStr">
        <is>
          <t>Pablo Sebastián Sánchez Arnoletto (DNI: 41513578G)</t>
        </is>
      </c>
    </row>
    <row r="8">
      <c r="A8" s="3" t="inlineStr">
        <is>
          <t>Plazo de Ejecución:</t>
        </is>
      </c>
      <c r="B8" s="4" t="inlineStr">
        <is>
          <t>3 meses</t>
        </is>
      </c>
    </row>
    <row r="9"/>
    <row r="10">
      <c r="A10" s="5" t="inlineStr">
        <is>
          <t>CUADRO ECONÓMICO DE LA OFERTA (2% DE BAJA MÁXIMA)</t>
        </is>
      </c>
    </row>
    <row r="11" ht="28" customHeight="1">
      <c r="A11" s="6" t="inlineStr">
        <is>
          <t>Concepto</t>
        </is>
      </c>
      <c r="B11" s="6" t="inlineStr">
        <is>
          <t>Tipo Licitación (PBL)</t>
        </is>
      </c>
      <c r="C11" s="6" t="inlineStr">
        <is>
          <t>Baja Ofertada (%)</t>
        </is>
      </c>
      <c r="D11" s="6" t="inlineStr">
        <is>
          <t>Baja Ofertada (€)</t>
        </is>
      </c>
      <c r="E11" s="6" t="inlineStr">
        <is>
          <t>Oferta DIXIS (sin IVA)</t>
        </is>
      </c>
      <c r="F11" s="6" t="inlineStr">
        <is>
          <t>Oferta con IVA (21%)</t>
        </is>
      </c>
    </row>
    <row r="12">
      <c r="A12" s="7" t="inlineStr">
        <is>
          <t>Presupuesto Total de Obra</t>
        </is>
      </c>
      <c r="B12" s="8" t="n">
        <v>89245.7</v>
      </c>
      <c r="C12" s="9" t="n">
        <v>0.02</v>
      </c>
      <c r="D12" s="8">
        <f>B12*C12</f>
        <v/>
      </c>
      <c r="E12" s="10">
        <f>B12-D12</f>
        <v/>
      </c>
      <c r="F12" s="10">
        <f>E12*1.21</f>
        <v/>
      </c>
    </row>
    <row r="13"/>
    <row r="14"/>
    <row r="15">
      <c r="A15" s="5" t="inlineStr">
        <is>
          <t>ESTUDIO DE RENTABILIDAD Y MÁRGENES DIXIS (Amianto a 45 €/m²)</t>
        </is>
      </c>
    </row>
    <row r="16">
      <c r="A16" s="11" t="inlineStr">
        <is>
          <t>Concepto de Coste / Ingreso</t>
        </is>
      </c>
      <c r="B16" s="11" t="inlineStr">
        <is>
          <t>Importe (€)</t>
        </is>
      </c>
      <c r="C16" s="11" t="inlineStr">
        <is>
          <t>% sobre PEM DIXIS</t>
        </is>
      </c>
      <c r="D16" s="11" t="inlineStr">
        <is>
          <t>Notas / Criterio</t>
        </is>
      </c>
    </row>
    <row r="17">
      <c r="A17" s="12" t="inlineStr">
        <is>
          <t>PEM Coste Directo DIXIS (con Amianto a 45 €/m²)</t>
        </is>
      </c>
      <c r="B17" s="13" t="n">
        <v>78124.48</v>
      </c>
      <c r="C17" s="14" t="n">
        <v>1</v>
      </c>
      <c r="D17" s="12" t="inlineStr">
        <is>
          <t>380 m² x 45 €/m² + resto partidas según proyecto</t>
        </is>
      </c>
    </row>
    <row r="18">
      <c r="A18" s="12" t="inlineStr">
        <is>
          <t>Ingreso por Adjudicación (Oferta DIXIS sin IVA)</t>
        </is>
      </c>
      <c r="B18" s="13" t="n">
        <v>87460.78999999999</v>
      </c>
      <c r="C18" s="14">
        <f>B18/B17</f>
        <v/>
      </c>
      <c r="D18" s="12" t="inlineStr">
        <is>
          <t>Con baja del 2,00% sobre PBL municipal</t>
        </is>
      </c>
    </row>
    <row r="19">
      <c r="A19" s="15" t="inlineStr">
        <is>
          <t>MARGEN BRUTO DISPONIBLE (GG + BI)</t>
        </is>
      </c>
      <c r="B19" s="16">
        <f>B18-B17</f>
        <v/>
      </c>
      <c r="C19" s="17">
        <f>B19/B17</f>
        <v/>
      </c>
      <c r="D19" s="15" t="inlineStr">
        <is>
          <t>Margen bruto para gastos generales y beneficio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5" customWidth="1" min="3" max="3"/>
    <col width="12" customWidth="1" min="4" max="4"/>
    <col width="12" customWidth="1" min="5" max="5"/>
    <col width="19" customWidth="1" min="6" max="6"/>
    <col width="18" customWidth="1" min="7" max="7"/>
  </cols>
  <sheetData>
    <row r="1" ht="26" customHeight="1">
      <c r="A1" s="18" t="inlineStr">
        <is>
          <t>DESGLOSE DE PARTIDAS Y MEDICIONES - CUBIERTA SANT LLUÍS</t>
        </is>
      </c>
    </row>
    <row r="2"/>
    <row r="3">
      <c r="A3" s="11" t="inlineStr">
        <is>
          <t>Cap.</t>
        </is>
      </c>
      <c r="B3" s="11" t="inlineStr">
        <is>
          <t>Código</t>
        </is>
      </c>
      <c r="C3" s="11" t="inlineStr">
        <is>
          <t>Descripción</t>
        </is>
      </c>
      <c r="D3" s="11" t="inlineStr">
        <is>
          <t>Medición</t>
        </is>
      </c>
      <c r="E3" s="11" t="inlineStr">
        <is>
          <t>Ud.</t>
        </is>
      </c>
      <c r="F3" s="11" t="inlineStr">
        <is>
          <t>Precio DIXIS (€)</t>
        </is>
      </c>
      <c r="G3" s="11" t="inlineStr">
        <is>
          <t>Total DIXIS (€)</t>
        </is>
      </c>
    </row>
    <row r="4">
      <c r="A4" s="19" t="inlineStr">
        <is>
          <t>D</t>
        </is>
      </c>
      <c r="B4" s="19" t="inlineStr">
        <is>
          <t>DQC030</t>
        </is>
      </c>
      <c r="C4" s="20" t="inlineStr">
        <is>
          <t>Desmontaje y retirada completa de cubierta de fibrocemento con amianto (RERA, transporte y canon vertedero)</t>
        </is>
      </c>
      <c r="D4" s="21" t="n">
        <v>380</v>
      </c>
      <c r="E4" s="19" t="inlineStr">
        <is>
          <t>m2</t>
        </is>
      </c>
      <c r="F4" s="22" t="n">
        <v>45</v>
      </c>
      <c r="G4" s="23">
        <f>D4*F4</f>
        <v/>
      </c>
    </row>
    <row r="5">
      <c r="A5" s="19" t="inlineStr">
        <is>
          <t>FP</t>
        </is>
      </c>
      <c r="B5" s="19" t="inlineStr">
        <is>
          <t>RYY021</t>
        </is>
      </c>
      <c r="C5" s="20" t="inlineStr">
        <is>
          <t>Reparación de grieta en revestimiento de mortero con malla de fibra de vidrio</t>
        </is>
      </c>
      <c r="D5" s="21" t="n">
        <v>30</v>
      </c>
      <c r="E5" s="19" t="inlineStr">
        <is>
          <t>m2</t>
        </is>
      </c>
      <c r="F5" s="24" t="n">
        <v>22.33</v>
      </c>
      <c r="G5" s="25">
        <f>D5*F5</f>
        <v/>
      </c>
    </row>
    <row r="6">
      <c r="A6" s="19" t="inlineStr">
        <is>
          <t>CC</t>
        </is>
      </c>
      <c r="B6" s="19" t="inlineStr">
        <is>
          <t>QUM025</t>
        </is>
      </c>
      <c r="C6" s="20" t="inlineStr">
        <is>
          <t>Cubierta de paneles sándwich PUR 40 mm prelacados con fijaciones mecánicas y cinta de butilo</t>
        </is>
      </c>
      <c r="D6" s="21" t="n">
        <v>300</v>
      </c>
      <c r="E6" s="19" t="inlineStr">
        <is>
          <t>m2</t>
        </is>
      </c>
      <c r="F6" s="24" t="n">
        <v>91.36</v>
      </c>
      <c r="G6" s="25">
        <f>D6*F6</f>
        <v/>
      </c>
    </row>
    <row r="7">
      <c r="A7" s="19" t="inlineStr">
        <is>
          <t>CC</t>
        </is>
      </c>
      <c r="B7" s="19" t="inlineStr">
        <is>
          <t>ISC010</t>
        </is>
      </c>
      <c r="C7" s="20" t="inlineStr">
        <is>
          <t>Canalón visto de chapa de acero inoxidable (desarrollo 333 mm) con soportes y accesorios</t>
        </is>
      </c>
      <c r="D7" s="21" t="n">
        <v>42</v>
      </c>
      <c r="E7" s="19" t="inlineStr">
        <is>
          <t>m</t>
        </is>
      </c>
      <c r="F7" s="24" t="n">
        <v>97.72</v>
      </c>
      <c r="G7" s="25">
        <f>D7*F7</f>
        <v/>
      </c>
    </row>
    <row r="8">
      <c r="A8" s="19" t="inlineStr">
        <is>
          <t>CC</t>
        </is>
      </c>
      <c r="B8" s="19" t="inlineStr">
        <is>
          <t>QLL020</t>
        </is>
      </c>
      <c r="C8" s="20" t="inlineStr">
        <is>
          <t>Lucernario de placas translúcidas de policarbonato celular 30 mm y sellado estanco</t>
        </is>
      </c>
      <c r="D8" s="21" t="n">
        <v>80</v>
      </c>
      <c r="E8" s="19" t="inlineStr">
        <is>
          <t>m2</t>
        </is>
      </c>
      <c r="F8" s="24" t="n">
        <v>70.8</v>
      </c>
      <c r="G8" s="25">
        <f>D8*F8</f>
        <v/>
      </c>
    </row>
    <row r="9">
      <c r="A9" s="19" t="inlineStr">
        <is>
          <t>CC</t>
        </is>
      </c>
      <c r="B9" s="19" t="inlineStr">
        <is>
          <t>EAS006</t>
        </is>
      </c>
      <c r="C9" s="20" t="inlineStr">
        <is>
          <t>Placas de anclaje de acero S275JR (300x300x12 mm) sobre pilares de hormigón con pernos y mortero expansivo</t>
        </is>
      </c>
      <c r="D9" s="21" t="n">
        <v>8</v>
      </c>
      <c r="E9" s="19" t="inlineStr">
        <is>
          <t>ud</t>
        </is>
      </c>
      <c r="F9" s="24" t="n">
        <v>75.81999999999999</v>
      </c>
      <c r="G9" s="25">
        <f>D9*F9</f>
        <v/>
      </c>
    </row>
    <row r="10">
      <c r="A10" s="19" t="inlineStr">
        <is>
          <t>IE</t>
        </is>
      </c>
      <c r="B10" s="19" t="inlineStr">
        <is>
          <t>IUP111</t>
        </is>
      </c>
      <c r="C10" s="20" t="inlineStr">
        <is>
          <t>Cuadro de mando y protección trifásico estanco IP44 / Clase II</t>
        </is>
      </c>
      <c r="D10" s="21" t="n">
        <v>1</v>
      </c>
      <c r="E10" s="19" t="inlineStr">
        <is>
          <t>ud</t>
        </is>
      </c>
      <c r="F10" s="24" t="n">
        <v>919.0599999999999</v>
      </c>
      <c r="G10" s="25">
        <f>D10*F10</f>
        <v/>
      </c>
    </row>
    <row r="11">
      <c r="A11" s="19" t="inlineStr">
        <is>
          <t>IE</t>
        </is>
      </c>
      <c r="B11" s="19" t="inlineStr">
        <is>
          <t>IL_01</t>
        </is>
      </c>
      <c r="C11" s="20" t="inlineStr">
        <is>
          <t>Luminarias industriales LED tipo campana de 75 W y 12.319 lm</t>
        </is>
      </c>
      <c r="D11" s="21" t="n">
        <v>8</v>
      </c>
      <c r="E11" s="19" t="inlineStr">
        <is>
          <t>ud</t>
        </is>
      </c>
      <c r="F11" s="24" t="n">
        <v>270.23</v>
      </c>
      <c r="G11" s="25">
        <f>D11*F11</f>
        <v/>
      </c>
    </row>
    <row r="12">
      <c r="A12" s="19" t="inlineStr">
        <is>
          <t>PR</t>
        </is>
      </c>
      <c r="B12" s="19" t="inlineStr">
        <is>
          <t>RIP025</t>
        </is>
      </c>
      <c r="C12" s="20" t="inlineStr">
        <is>
          <t>Pintura plástica interior mate sobre paramentos verticales hasta 6 m altura</t>
        </is>
      </c>
      <c r="D12" s="21" t="n">
        <v>414.74</v>
      </c>
      <c r="E12" s="19" t="inlineStr">
        <is>
          <t>m2</t>
        </is>
      </c>
      <c r="F12" s="24" t="n">
        <v>6.52</v>
      </c>
      <c r="G12" s="25">
        <f>D12*F12</f>
        <v/>
      </c>
    </row>
    <row r="13">
      <c r="A13" s="19" t="inlineStr">
        <is>
          <t>PR</t>
        </is>
      </c>
      <c r="B13" s="19" t="inlineStr">
        <is>
          <t>RFP010</t>
        </is>
      </c>
      <c r="C13" s="20" t="inlineStr">
        <is>
          <t>Pintura plástica exterior en fachada con fondo fijador Pliolite</t>
        </is>
      </c>
      <c r="D13" s="21" t="n">
        <v>215.74</v>
      </c>
      <c r="E13" s="19" t="inlineStr">
        <is>
          <t>m2</t>
        </is>
      </c>
      <c r="F13" s="24" t="n">
        <v>6.75</v>
      </c>
      <c r="G13" s="25">
        <f>D13*F13</f>
        <v/>
      </c>
    </row>
    <row r="14">
      <c r="A14" s="19" t="inlineStr">
        <is>
          <t>PR</t>
        </is>
      </c>
      <c r="B14" s="19" t="inlineStr">
        <is>
          <t>EHY013</t>
        </is>
      </c>
      <c r="C14" s="20" t="inlineStr">
        <is>
          <t>Reparación estructural de pilares de hormigón con mortero tixotrópico R4</t>
        </is>
      </c>
      <c r="D14" s="21" t="n">
        <v>10</v>
      </c>
      <c r="E14" s="19" t="inlineStr">
        <is>
          <t>m2</t>
        </is>
      </c>
      <c r="F14" s="24" t="n">
        <v>115.74</v>
      </c>
      <c r="G14" s="25">
        <f>D14*F14</f>
        <v/>
      </c>
    </row>
    <row r="15">
      <c r="A15" s="19" t="inlineStr">
        <is>
          <t>PR</t>
        </is>
      </c>
      <c r="B15" s="19" t="inlineStr">
        <is>
          <t>EAK010</t>
        </is>
      </c>
      <c r="C15" s="20" t="inlineStr">
        <is>
          <t>Limpieza superficial cerchas y correas metálicas mediante chorreado abrasivo grado Sa 2</t>
        </is>
      </c>
      <c r="D15" s="21" t="n">
        <v>70</v>
      </c>
      <c r="E15" s="19" t="inlineStr">
        <is>
          <t>m2</t>
        </is>
      </c>
      <c r="F15" s="24" t="n">
        <v>24.63</v>
      </c>
      <c r="G15" s="25">
        <f>D15*F15</f>
        <v/>
      </c>
    </row>
    <row r="16">
      <c r="A16" s="19" t="inlineStr">
        <is>
          <t>PR</t>
        </is>
      </c>
      <c r="B16" s="19" t="inlineStr">
        <is>
          <t>RLC010</t>
        </is>
      </c>
      <c r="C16" s="20" t="inlineStr">
        <is>
          <t>Imprimación anticorrosiva epoxi bicomponente (100 µm) en estructura metálica</t>
        </is>
      </c>
      <c r="D16" s="21" t="n">
        <v>70</v>
      </c>
      <c r="E16" s="19" t="inlineStr">
        <is>
          <t>m2</t>
        </is>
      </c>
      <c r="F16" s="24" t="n">
        <v>31.03</v>
      </c>
      <c r="G16" s="25">
        <f>D16*F16</f>
        <v/>
      </c>
    </row>
    <row r="17">
      <c r="A17" s="19" t="inlineStr">
        <is>
          <t>GR</t>
        </is>
      </c>
      <c r="B17" s="19" t="inlineStr">
        <is>
          <t>11_1</t>
        </is>
      </c>
      <c r="C17" s="20" t="inlineStr">
        <is>
          <t>Gestión de residuos inertes y de construcción en vertedero (RD 105/2008)</t>
        </is>
      </c>
      <c r="D17" s="21" t="n">
        <v>1</v>
      </c>
      <c r="E17" s="19" t="inlineStr">
        <is>
          <t>PA</t>
        </is>
      </c>
      <c r="F17" s="24" t="n">
        <v>2428.29</v>
      </c>
      <c r="G17" s="25">
        <f>D17*F17</f>
        <v/>
      </c>
    </row>
    <row r="18">
      <c r="A18" s="19" t="inlineStr">
        <is>
          <t>SS</t>
        </is>
      </c>
      <c r="B18" s="19" t="inlineStr">
        <is>
          <t>12_1</t>
        </is>
      </c>
      <c r="C18" s="20" t="inlineStr">
        <is>
          <t>Plan de Seguridad y Salud, vallados, señalización y EPIS</t>
        </is>
      </c>
      <c r="D18" s="21" t="n">
        <v>1</v>
      </c>
      <c r="E18" s="19" t="inlineStr">
        <is>
          <t>PA</t>
        </is>
      </c>
      <c r="F18" s="24" t="n">
        <v>2550</v>
      </c>
      <c r="G18" s="25">
        <f>D18*F18</f>
        <v/>
      </c>
    </row>
    <row r="19">
      <c r="A19" s="19" t="inlineStr">
        <is>
          <t>SS</t>
        </is>
      </c>
      <c r="B19" s="19" t="inlineStr">
        <is>
          <t>LVD</t>
        </is>
      </c>
      <c r="C19" s="20" t="inlineStr">
        <is>
          <t>Línea de vida permanente horizontal (20 m cable inox clase C homologada)</t>
        </is>
      </c>
      <c r="D19" s="21" t="n">
        <v>20</v>
      </c>
      <c r="E19" s="19" t="inlineStr">
        <is>
          <t>m</t>
        </is>
      </c>
      <c r="F19" s="24" t="n">
        <v>74.75</v>
      </c>
      <c r="G19" s="25">
        <f>D19*F19</f>
        <v/>
      </c>
    </row>
    <row r="20">
      <c r="A20" s="19" t="inlineStr">
        <is>
          <t>SS</t>
        </is>
      </c>
      <c r="B20" s="19" t="inlineStr">
        <is>
          <t>OXA113</t>
        </is>
      </c>
      <c r="C20" s="20" t="inlineStr">
        <is>
          <t>Alquiler de torre de trabajo móvil (andamio 3x2 m, 90 días naturales)</t>
        </is>
      </c>
      <c r="D20" s="21" t="n">
        <v>1</v>
      </c>
      <c r="E20" s="19" t="inlineStr">
        <is>
          <t>ud</t>
        </is>
      </c>
      <c r="F20" s="24" t="n">
        <v>1297.24</v>
      </c>
      <c r="G20" s="25">
        <f>D20*F20</f>
        <v/>
      </c>
    </row>
    <row r="21">
      <c r="A21" s="19" t="inlineStr">
        <is>
          <t>H</t>
        </is>
      </c>
      <c r="B21" s="19" t="inlineStr">
        <is>
          <t>HYL020</t>
        </is>
      </c>
      <c r="C21" s="20" t="inlineStr">
        <is>
          <t>Limpieza inicial y movimiento de mobiliario y archivo existente en almacén</t>
        </is>
      </c>
      <c r="D21" s="21" t="n">
        <v>1</v>
      </c>
      <c r="E21" s="19" t="inlineStr">
        <is>
          <t>PA</t>
        </is>
      </c>
      <c r="F21" s="24" t="n">
        <v>1199.52</v>
      </c>
      <c r="G21" s="25">
        <f>D21*F21</f>
        <v/>
      </c>
    </row>
    <row r="22">
      <c r="A22" s="19" t="inlineStr">
        <is>
          <t>H</t>
        </is>
      </c>
      <c r="B22" s="19" t="inlineStr">
        <is>
          <t>HYA010</t>
        </is>
      </c>
      <c r="C22" s="20" t="inlineStr">
        <is>
          <t>Ayudas de albañilería y recolocación de instalaciones afectadas</t>
        </is>
      </c>
      <c r="D22" s="21" t="n">
        <v>1</v>
      </c>
      <c r="E22" s="19" t="inlineStr">
        <is>
          <t>PA</t>
        </is>
      </c>
      <c r="F22" s="24" t="n">
        <v>1306.88</v>
      </c>
      <c r="G22" s="25">
        <f>D22*F22</f>
        <v/>
      </c>
    </row>
    <row r="23">
      <c r="A23" s="26" t="inlineStr">
        <is>
          <t>TOTAL PRESUPUESTO EJECUCIÓN MATERIAL (PEM DIXIS)</t>
        </is>
      </c>
      <c r="B23" s="20" t="n"/>
      <c r="C23" s="20" t="n"/>
      <c r="D23" s="20" t="n"/>
      <c r="E23" s="20" t="n"/>
      <c r="F23" s="20" t="n"/>
      <c r="G23" s="27">
        <f>SUM(G4:G22)</f>
        <v/>
      </c>
    </row>
  </sheetData>
  <mergeCells count="2">
    <mergeCell ref="A1:G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2026-10-29T12:52:25Z</dcterms:created>
  <dcterms:modified xmlns:dcterms="http://purl.org/dc/terms/" xmlns:xsi="http://www.w3.org/2001/XMLSchema-instance" xsi:type="dcterms:W3CDTF">2026-10-29T12:52:25Z</dcterms:modified>
</cp:coreProperties>
</file>