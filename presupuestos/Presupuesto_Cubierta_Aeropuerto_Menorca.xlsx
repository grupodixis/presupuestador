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Oficial AENA" sheetId="1" state="visible" r:id="rId1"/>
    <sheet name="Estudio Costes y Escandallo" sheetId="2" state="visible" r:id="rId2"/>
    <sheet name="Resumen Ejecutivo y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D1"/>
      <sz val="9.5"/>
    </font>
    <font>
      <name val="Segoe UI"/>
      <b val="1"/>
      <color rgb="0018201D"/>
      <sz val="9.5"/>
    </font>
    <font>
      <name val="Segoe UI"/>
      <color rgb="00334155"/>
      <sz val="9.5"/>
    </font>
    <font>
      <name val="Segoe UI"/>
      <b val="1"/>
      <color rgb="00FFFFFF"/>
      <sz val="9.5"/>
    </font>
    <font>
      <name val="Segoe UI"/>
      <b val="1"/>
      <sz val="9"/>
    </font>
    <font>
      <name val="Segoe UI"/>
      <sz val="9"/>
    </font>
    <font>
      <name val="Segoe UI"/>
      <b val="1"/>
      <color rgb="0018201D"/>
      <sz val="11"/>
    </font>
  </fonts>
  <fills count="7">
    <fill>
      <patternFill/>
    </fill>
    <fill>
      <patternFill patternType="gray125"/>
    </fill>
    <fill>
      <patternFill patternType="solid">
        <fgColor rgb="0018201D"/>
        <bgColor rgb="0018201D"/>
      </patternFill>
    </fill>
    <fill>
      <patternFill patternType="solid">
        <fgColor rgb="0027312F"/>
        <bgColor rgb="0027312F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FEFCBF"/>
        <bgColor rgb="00FEFCBF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8201D"/>
      </bottom>
    </border>
    <border>
      <left style="thin">
        <color rgb="00CBD5E1"/>
      </left>
      <right style="thin">
        <color rgb="00CBD5E1"/>
      </right>
      <top style="medium">
        <color rgb="0018201D"/>
      </top>
      <bottom style="double">
        <color rgb="0018201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vertical="center" indent="1"/>
    </xf>
    <xf numFmtId="0" fontId="0" fillId="3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right" vertical="center"/>
    </xf>
    <xf numFmtId="0" fontId="0" fillId="4" borderId="2" pivotButton="0" quotePrefix="0" xfId="0"/>
    <xf numFmtId="164" fontId="3" fillId="4" borderId="2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8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165" fontId="6" fillId="0" borderId="1" applyAlignment="1" pivotButton="0" quotePrefix="0" xfId="0">
      <alignment horizontal="center" vertical="center"/>
    </xf>
    <xf numFmtId="0" fontId="8" fillId="5" borderId="3" applyAlignment="1" pivotButton="0" quotePrefix="0" xfId="0">
      <alignment horizontal="right" vertical="center"/>
    </xf>
    <xf numFmtId="0" fontId="0" fillId="5" borderId="3" pivotButton="0" quotePrefix="0" xfId="0"/>
    <xf numFmtId="164" fontId="8" fillId="5" borderId="3" applyAlignment="1" pivotButton="0" quotePrefix="0" xfId="0">
      <alignment horizontal="right" vertical="center"/>
    </xf>
    <xf numFmtId="165" fontId="6" fillId="6" borderId="0" applyAlignment="1" pivotButton="0" quotePrefix="0" xfId="0">
      <alignment horizontal="center" vertical="center"/>
    </xf>
    <xf numFmtId="0" fontId="2" fillId="0" borderId="0" pivotButton="0" quotePrefix="0" xfId="0"/>
    <xf numFmtId="165" fontId="7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right" vertical="center"/>
    </xf>
    <xf numFmtId="164" fontId="8" fillId="4" borderId="2" applyAlignment="1" pivotButton="0" quotePrefix="0" xfId="0">
      <alignment horizontal="right" vertical="center"/>
    </xf>
    <xf numFmtId="165" fontId="8" fillId="4" borderId="2" applyAlignment="1" pivotButton="0" quotePrefix="0" xfId="0">
      <alignment horizontal="right" vertical="center"/>
    </xf>
    <xf numFmtId="0" fontId="6" fillId="0" borderId="0" pivotButton="0" quotePrefix="0" xfId="0"/>
    <xf numFmtId="0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75" customWidth="1" min="2" max="2"/>
    <col width="8" customWidth="1" min="3" max="3"/>
    <col width="14" customWidth="1" min="4" max="4"/>
    <col width="18" customWidth="1" min="5" max="5"/>
    <col width="20" customWidth="1" min="6" max="6"/>
  </cols>
  <sheetData>
    <row r="1">
      <c r="A1" s="1" t="inlineStr">
        <is>
          <t>HAM ESTRUCTURAS METÁLICAS</t>
        </is>
      </c>
    </row>
    <row r="2">
      <c r="A2" s="2" t="inlineStr">
        <is>
          <t>Estudio Técnico y Presupuesto Oficial · Rehabilitación Cubierta Nave Operativa AENA (Lado Aire)</t>
        </is>
      </c>
    </row>
    <row r="4">
      <c r="A4" s="3" t="inlineStr">
        <is>
          <t>Cliente:</t>
        </is>
      </c>
      <c r="B4" s="4" t="inlineStr">
        <is>
          <t>AENA · Aeropuerto de Menorca (Maó)</t>
        </is>
      </c>
      <c r="E4" s="3" t="inlineStr">
        <is>
          <t>Referencia:</t>
        </is>
      </c>
      <c r="F4" s="4" t="inlineStr">
        <is>
          <t>ANT-2026-0831-AENA</t>
        </is>
      </c>
    </row>
    <row r="5">
      <c r="A5" s="3" t="inlineStr">
        <is>
          <t>Emplazamiento:</t>
        </is>
      </c>
      <c r="B5" s="4" t="inlineStr">
        <is>
          <t>Nave Lado Aire (Zona Restringida)</t>
        </is>
      </c>
      <c r="E5" s="3" t="inlineStr">
        <is>
          <t>Fecha:</t>
        </is>
      </c>
      <c r="F5" s="4" t="inlineStr">
        <is>
          <t>31/08/2026</t>
        </is>
      </c>
    </row>
    <row r="6">
      <c r="A6" s="3" t="inlineStr">
        <is>
          <t>Plazo de Ejecución:</t>
        </is>
      </c>
      <c r="B6" s="4" t="inlineStr">
        <is>
          <t>3 meses (12 semanas)</t>
        </is>
      </c>
      <c r="E6" s="3" t="inlineStr">
        <is>
          <t>Validez Oferta:</t>
        </is>
      </c>
      <c r="F6" s="4" t="inlineStr">
        <is>
          <t>30 días naturales</t>
        </is>
      </c>
    </row>
    <row r="8">
      <c r="A8" s="5" t="inlineStr">
        <is>
          <t>CÓDIGO</t>
        </is>
      </c>
      <c r="B8" s="6" t="inlineStr">
        <is>
          <t>DESCRIPCIÓN DE LA UNIDAD DE OBRA</t>
        </is>
      </c>
      <c r="C8" s="5" t="inlineStr">
        <is>
          <t>UD.</t>
        </is>
      </c>
      <c r="D8" s="5" t="inlineStr">
        <is>
          <t>CANTIDAD</t>
        </is>
      </c>
      <c r="E8" s="5" t="inlineStr">
        <is>
          <t>PRECIO UNITARIO</t>
        </is>
      </c>
      <c r="F8" s="5" t="inlineStr">
        <is>
          <t>IMPORTE TOTAL</t>
        </is>
      </c>
    </row>
    <row r="9">
      <c r="A9" s="7" t="inlineStr">
        <is>
          <t>CAPÍTULO 01 · TRABAJOS PREVIOS, SEGURIDAD Y TRAMITACIÓN LADO AIRE (AENA - 3 MESES)</t>
        </is>
      </c>
      <c r="B9" s="8" t="n"/>
      <c r="C9" s="8" t="n"/>
      <c r="D9" s="8" t="n"/>
      <c r="E9" s="8" t="n"/>
      <c r="F9" s="8" t="n"/>
    </row>
    <row r="10">
      <c r="A10" s="9" t="inlineStr">
        <is>
          <t>01.01</t>
        </is>
      </c>
      <c r="B10" s="10" t="inlineStr">
        <is>
          <t>Tramitación de acreditaciones de seguridad AENA, cursos AVSEC de operarios, autorizaciones de vehículos y maquinaria especial para acceso a plataforma y Lado Aire (cobertura 3 meses de obra).</t>
        </is>
      </c>
      <c r="C10" s="11" t="inlineStr">
        <is>
          <t>PA</t>
        </is>
      </c>
      <c r="D10" s="12" t="n">
        <v>1</v>
      </c>
      <c r="E10" s="13" t="n">
        <v>4200</v>
      </c>
      <c r="F10" s="14">
        <f>D10*E10</f>
        <v/>
      </c>
    </row>
    <row r="11">
      <c r="A11" s="9" t="inlineStr">
        <is>
          <t>01.02</t>
        </is>
      </c>
      <c r="B11" s="10" t="inlineStr">
        <is>
          <t>Suministro, montaje y posterior desmontaje de redes de seguridad anticaídas bajo cubierta fijadas a correas metálicas, para protección colectiva continua de operarios durante los 3 meses.</t>
        </is>
      </c>
      <c r="C11" s="11" t="inlineStr">
        <is>
          <t>m²</t>
        </is>
      </c>
      <c r="D11" s="12" t="n">
        <v>1950</v>
      </c>
      <c r="E11" s="13" t="n">
        <v>4.2</v>
      </c>
      <c r="F11" s="14">
        <f>D11*E11</f>
        <v/>
      </c>
    </row>
    <row r="12">
      <c r="A12" s="9" t="inlineStr">
        <is>
          <t>01.03</t>
        </is>
      </c>
      <c r="B12" s="10" t="inlineStr">
        <is>
          <t>Balizamiento perimetral en zona de maniobra, control continuo de residuos ligeros volátiles (protocolo FOD) y líneas de anclaje provisionales de montaje para 3 meses.</t>
        </is>
      </c>
      <c r="C12" s="11" t="inlineStr">
        <is>
          <t>PA</t>
        </is>
      </c>
      <c r="D12" s="12" t="n">
        <v>1</v>
      </c>
      <c r="E12" s="13" t="n">
        <v>3000</v>
      </c>
      <c r="F12" s="14">
        <f>D12*E12</f>
        <v/>
      </c>
    </row>
    <row r="13">
      <c r="A13" s="15" t="inlineStr">
        <is>
          <t>SUBTOTAL CAPÍTULO 01:</t>
        </is>
      </c>
      <c r="B13" s="16" t="n"/>
      <c r="C13" s="16" t="n"/>
      <c r="D13" s="16" t="n"/>
      <c r="E13" s="16" t="n"/>
      <c r="F13" s="17">
        <f>SUM(F10:F12)</f>
        <v/>
      </c>
    </row>
    <row r="15">
      <c r="A15" s="7" t="inlineStr">
        <is>
          <t>CAPÍTULO 02 · DESMONTAJE Y GESTIÓN INTEGRAL DE RESIDUOS CONTAMINADOS</t>
        </is>
      </c>
      <c r="B15" s="8" t="n"/>
      <c r="C15" s="8" t="n"/>
      <c r="D15" s="8" t="n"/>
      <c r="E15" s="8" t="n"/>
      <c r="F15" s="8" t="n"/>
    </row>
    <row r="16">
      <c r="A16" s="9" t="inlineStr">
        <is>
          <t>02.01</t>
        </is>
      </c>
      <c r="B16" s="10" t="inlineStr">
        <is>
          <t>Desmontaje manual y mecánico de cubierta dañada existente (panel sándwich y placas translúcidas), desatornillado ordenado y acopio en cubierta.</t>
        </is>
      </c>
      <c r="C16" s="11" t="inlineStr">
        <is>
          <t>m²</t>
        </is>
      </c>
      <c r="D16" s="12" t="n">
        <v>1950</v>
      </c>
      <c r="E16" s="13" t="n">
        <v>7.8</v>
      </c>
      <c r="F16" s="14">
        <f>D16*E16</f>
        <v/>
      </c>
    </row>
    <row r="17">
      <c r="A17" s="9" t="inlineStr">
        <is>
          <t>02.02</t>
        </is>
      </c>
      <c r="B17" s="10" t="inlineStr">
        <is>
          <t>Desmontaje de chapas de petos exteriores, panel de peto interior, rematería y canalones viejos deteriorados.</t>
        </is>
      </c>
      <c r="C17" s="11" t="inlineStr">
        <is>
          <t>m²</t>
        </is>
      </c>
      <c r="D17" s="18" t="n">
        <v>794.88</v>
      </c>
      <c r="E17" s="13" t="n">
        <v>6.5</v>
      </c>
      <c r="F17" s="14">
        <f>D17*E17</f>
        <v/>
      </c>
    </row>
    <row r="18">
      <c r="A18" s="9" t="inlineStr">
        <is>
          <t>02.03</t>
        </is>
      </c>
      <c r="B18" s="10" t="inlineStr">
        <is>
          <t>Bajada controlada de material retirado desde cubierta a cota cero mediante camión grúa / manipulador telescópico homologado.</t>
        </is>
      </c>
      <c r="C18" s="11" t="inlineStr">
        <is>
          <t>h</t>
        </is>
      </c>
      <c r="D18" s="12" t="n">
        <v>72</v>
      </c>
      <c r="E18" s="13" t="n">
        <v>95</v>
      </c>
      <c r="F18" s="14">
        <f>D18*E18</f>
        <v/>
      </c>
    </row>
    <row r="19">
      <c r="A19" s="9" t="inlineStr">
        <is>
          <t>02.04</t>
        </is>
      </c>
      <c r="B19" s="10" t="inlineStr">
        <is>
          <t>Gestión integral de residuos contaminados: carga mecánica, alquiler de contenedores estancos homologados para Lado Aire durante los 3 meses, transporte autorizado a planta insular de transferencia y canon oficial de vertedero homologado para residuo contaminado de panel sándwich con espuma aislante rígida PUR/PIR, policarbonatos, chapas y petos degradados.</t>
        </is>
      </c>
      <c r="C19" s="11" t="inlineStr">
        <is>
          <t>m²</t>
        </is>
      </c>
      <c r="D19" s="18" t="n">
        <v>2744.88</v>
      </c>
      <c r="E19" s="13" t="n">
        <v>8.800000000000001</v>
      </c>
      <c r="F19" s="14">
        <f>D19*E19</f>
        <v/>
      </c>
    </row>
    <row r="20">
      <c r="A20" s="15" t="inlineStr">
        <is>
          <t>SUBTOTAL CAPÍTULO 02:</t>
        </is>
      </c>
      <c r="B20" s="16" t="n"/>
      <c r="C20" s="16" t="n"/>
      <c r="D20" s="16" t="n"/>
      <c r="E20" s="16" t="n"/>
      <c r="F20" s="17">
        <f>SUM(F16:F19)</f>
        <v/>
      </c>
    </row>
    <row r="22">
      <c r="A22" s="7" t="inlineStr">
        <is>
          <t>CAPÍTULO 03 · SUMINISTRO E INSTALACIÓN DE NUEVA CUBIERTA Y LUCERNARIOS</t>
        </is>
      </c>
      <c r="B22" s="8" t="n"/>
      <c r="C22" s="8" t="n"/>
      <c r="D22" s="8" t="n"/>
      <c r="E22" s="8" t="n"/>
      <c r="F22" s="8" t="n"/>
    </row>
    <row r="23">
      <c r="A23" s="9" t="inlineStr">
        <is>
          <t>03.01</t>
        </is>
      </c>
      <c r="B23" s="10" t="inlineStr">
        <is>
          <t>Panel sándwich de cubierta de 50 mm de espesor, chapa exterior grecada lacada con recubrimiento especial marino, núcleo rígido aislante PIR/PUR y chapa interior blanco pirineo. Incluye flete marítimo a Menorca.</t>
        </is>
      </c>
      <c r="C23" s="11" t="inlineStr">
        <is>
          <t>m²</t>
        </is>
      </c>
      <c r="D23" s="12" t="n">
        <v>1755</v>
      </c>
      <c r="E23" s="13" t="n">
        <v>55</v>
      </c>
      <c r="F23" s="14">
        <f>D23*E23</f>
        <v/>
      </c>
    </row>
    <row r="24">
      <c r="A24" s="9" t="inlineStr">
        <is>
          <t>03.02</t>
        </is>
      </c>
      <c r="B24" s="10" t="inlineStr">
        <is>
          <t>Lucernarios de policarbonato celular grecado de 30-40 mm con protección UV en masa, perfectamente compatibles con la greca del panel para iluminación natural (10% de faldones).</t>
        </is>
      </c>
      <c r="C24" s="11" t="inlineStr">
        <is>
          <t>m²</t>
        </is>
      </c>
      <c r="D24" s="12" t="n">
        <v>195</v>
      </c>
      <c r="E24" s="13" t="n">
        <v>48</v>
      </c>
      <c r="F24" s="14">
        <f>D24*E24</f>
        <v/>
      </c>
    </row>
    <row r="25">
      <c r="A25" s="9" t="inlineStr">
        <is>
          <t>03.03</t>
        </is>
      </c>
      <c r="B25" s="10" t="inlineStr">
        <is>
          <t>Tornillería autotaladrante reforzada con arandela vulcanizada EPDM y caballetes de fijación para óptimo reparto de presiones de viento.</t>
        </is>
      </c>
      <c r="C25" s="11" t="inlineStr">
        <is>
          <t>Ud.</t>
        </is>
      </c>
      <c r="D25" s="12" t="n">
        <v>7500</v>
      </c>
      <c r="E25" s="13" t="n">
        <v>0.38</v>
      </c>
      <c r="F25" s="14">
        <f>D25*E25</f>
        <v/>
      </c>
    </row>
    <row r="26">
      <c r="A26" s="9" t="inlineStr">
        <is>
          <t>03.04</t>
        </is>
      </c>
      <c r="B26" s="10" t="inlineStr">
        <is>
          <t>Mano de obra especializada de colocación de cubierta y lucernarios, solapes, fijación reforzada a correas y sellado estanco longitudinal y transversal con butilo.</t>
        </is>
      </c>
      <c r="C26" s="11" t="inlineStr">
        <is>
          <t>m²</t>
        </is>
      </c>
      <c r="D26" s="12" t="n">
        <v>1950</v>
      </c>
      <c r="E26" s="13" t="n">
        <v>65.3</v>
      </c>
      <c r="F26" s="14">
        <f>D26*E26</f>
        <v/>
      </c>
    </row>
    <row r="27">
      <c r="A27" s="15" t="inlineStr">
        <is>
          <t>SUBTOTAL CAPÍTULO 03:</t>
        </is>
      </c>
      <c r="B27" s="16" t="n"/>
      <c r="C27" s="16" t="n"/>
      <c r="D27" s="16" t="n"/>
      <c r="E27" s="16" t="n"/>
      <c r="F27" s="17">
        <f>SUM(F23:F26)</f>
        <v/>
      </c>
    </row>
    <row r="29">
      <c r="A29" s="7" t="inlineStr">
        <is>
          <t>CAPÍTULO 04 · PETOS PERIMETRALES (CHAPA HDX Y PANEL FACHADA) Y REMATERÍA</t>
        </is>
      </c>
      <c r="B29" s="8" t="n"/>
      <c r="C29" s="8" t="n"/>
      <c r="D29" s="8" t="n"/>
      <c r="E29" s="8" t="n"/>
      <c r="F29" s="8" t="n"/>
    </row>
    <row r="30">
      <c r="A30" s="9" t="inlineStr">
        <is>
          <t>04.01</t>
        </is>
      </c>
      <c r="B30" s="10" t="inlineStr">
        <is>
          <t>Chapa prelacada blanca Granite HDX 55 µm (alta resistencia marina C5-M, e=0,6-0,8 mm conformada) para revestimiento exterior de peto superior e inferior (184 ml x 1,2 m x 2).</t>
        </is>
      </c>
      <c r="C30" s="11" t="inlineStr">
        <is>
          <t>m²</t>
        </is>
      </c>
      <c r="D30" s="18" t="n">
        <v>529.92</v>
      </c>
      <c r="E30" s="13" t="n">
        <v>38</v>
      </c>
      <c r="F30" s="14">
        <f>D30*E30</f>
        <v/>
      </c>
    </row>
    <row r="31">
      <c r="A31" s="9" t="inlineStr">
        <is>
          <t>04.02</t>
        </is>
      </c>
      <c r="B31" s="10" t="inlineStr">
        <is>
          <t>Panel sándwich de fachada de 50 mm cara interior de peto, chapa microperfilada blanca y núcleo rígido aislante térmico PIR/PUR (184 ml x 1,2 m).</t>
        </is>
      </c>
      <c r="C31" s="11" t="inlineStr">
        <is>
          <t>m²</t>
        </is>
      </c>
      <c r="D31" s="18" t="n">
        <v>264.96</v>
      </c>
      <c r="E31" s="13" t="n">
        <v>55</v>
      </c>
      <c r="F31" s="14">
        <f>D31*E31</f>
        <v/>
      </c>
    </row>
    <row r="32">
      <c r="A32" s="9" t="inlineStr">
        <is>
          <t>04.03</t>
        </is>
      </c>
      <c r="B32" s="10" t="inlineStr">
        <is>
          <t>Mano de obra de montaje de chapas HDX y panel sándwich de fachada en petos perimetrales.</t>
        </is>
      </c>
      <c r="C32" s="11" t="inlineStr">
        <is>
          <t>m²</t>
        </is>
      </c>
      <c r="D32" s="18" t="n">
        <v>794.88</v>
      </c>
      <c r="E32" s="13" t="n">
        <v>12.5</v>
      </c>
      <c r="F32" s="14">
        <f>D32*E32</f>
        <v/>
      </c>
    </row>
    <row r="33">
      <c r="A33" s="9" t="inlineStr">
        <is>
          <t>04.04</t>
        </is>
      </c>
      <c r="B33" s="10" t="inlineStr">
        <is>
          <t>Rematería conformada en chapa HDX: cumbrera troquelada (70 ml), albardillas de coronación con goterón (184 ml), esquineros y baberos peto-cubierta (184 ml).</t>
        </is>
      </c>
      <c r="C33" s="11" t="inlineStr">
        <is>
          <t>ml</t>
        </is>
      </c>
      <c r="D33" s="18" t="n">
        <v>525.6</v>
      </c>
      <c r="E33" s="13" t="n">
        <v>16.5</v>
      </c>
      <c r="F33" s="14">
        <f>D33*E33</f>
        <v/>
      </c>
    </row>
    <row r="34">
      <c r="A34" s="9" t="inlineStr">
        <is>
          <t>04.05</t>
        </is>
      </c>
      <c r="B34" s="10" t="inlineStr">
        <is>
          <t>Mano de obra de colocación de rematería perimetral y sellados de estanqueidad con polímero MS.</t>
        </is>
      </c>
      <c r="C34" s="11" t="inlineStr">
        <is>
          <t>ml</t>
        </is>
      </c>
      <c r="D34" s="18" t="n">
        <v>525.6</v>
      </c>
      <c r="E34" s="13" t="n">
        <v>8</v>
      </c>
      <c r="F34" s="14">
        <f>D34*E34</f>
        <v/>
      </c>
    </row>
    <row r="35">
      <c r="A35" s="15" t="inlineStr">
        <is>
          <t>SUBTOTAL CAPÍTULO 04:</t>
        </is>
      </c>
      <c r="B35" s="16" t="n"/>
      <c r="C35" s="16" t="n"/>
      <c r="D35" s="16" t="n"/>
      <c r="E35" s="16" t="n"/>
      <c r="F35" s="17">
        <f>SUM(F30:F34)</f>
        <v/>
      </c>
    </row>
    <row r="37">
      <c r="A37" s="7" t="inlineStr">
        <is>
          <t>CAPÍTULO 05 · CANALONES HDX, BAJANTES Y BABEROS DE ENTREGA</t>
        </is>
      </c>
      <c r="B37" s="8" t="n"/>
      <c r="C37" s="8" t="n"/>
      <c r="D37" s="8" t="n"/>
      <c r="E37" s="8" t="n"/>
      <c r="F37" s="8" t="n"/>
    </row>
    <row r="38">
      <c r="A38" s="9" t="inlineStr">
        <is>
          <t>05.01</t>
        </is>
      </c>
      <c r="B38" s="10" t="inlineStr">
        <is>
          <t>Canalón continuo conformado en chapa Granite HDX (desarrollo 450-500 mm, calidad marina C5-M) para ambos aleros (2 x 70 ml) con baberos HDX, ganchos de pletina cada 60 cm, bajantes exteriores y sellados estancos.</t>
        </is>
      </c>
      <c r="C38" s="11" t="inlineStr">
        <is>
          <t>ml</t>
        </is>
      </c>
      <c r="D38" s="12" t="n">
        <v>168</v>
      </c>
      <c r="E38" s="13" t="n">
        <v>81.03</v>
      </c>
      <c r="F38" s="14">
        <f>D38*E38</f>
        <v/>
      </c>
    </row>
    <row r="39">
      <c r="A39" s="15" t="inlineStr">
        <is>
          <t>SUBTOTAL CAPÍTULO 05:</t>
        </is>
      </c>
      <c r="B39" s="16" t="n"/>
      <c r="C39" s="16" t="n"/>
      <c r="D39" s="16" t="n"/>
      <c r="E39" s="16" t="n"/>
      <c r="F39" s="17">
        <f>SUM(F38:F38)</f>
        <v/>
      </c>
    </row>
    <row r="41">
      <c r="A41" s="7" t="inlineStr">
        <is>
          <t>CAPÍTULO 06 · SISTEMA DE LÍNEA DE VIDA LUX-TOP (EN 795 CLASE C)</t>
        </is>
      </c>
      <c r="B41" s="8" t="n"/>
      <c r="C41" s="8" t="n"/>
      <c r="D41" s="8" t="n"/>
      <c r="E41" s="8" t="n"/>
      <c r="F41" s="8" t="n"/>
    </row>
    <row r="42">
      <c r="A42" s="9" t="inlineStr">
        <is>
          <t>06.01</t>
        </is>
      </c>
      <c r="B42" s="10" t="inlineStr">
        <is>
          <t>Sistema de línea de vida horizontal continua LUX-TOP (normas UNE-EN 795 Clase C y CEN/TS 16415 para uso multiusuario) en acero inoxidable AISI 316 Ø8 mm de 70 ml en cumbrera. Incluye postes extremos e intermedios fijados a estructura con absorbedores dinámicos, kit de tensión con indicador de carga, 2 carros lanzadera de paso continuo, fijaciones reforzadas, pruebas de tiro, verificación y Certificado de Homologación oficial visado.</t>
        </is>
      </c>
      <c r="C42" s="11" t="inlineStr">
        <is>
          <t>ml</t>
        </is>
      </c>
      <c r="D42" s="12" t="n">
        <v>84</v>
      </c>
      <c r="E42" s="13" t="n">
        <v>120</v>
      </c>
      <c r="F42" s="14">
        <f>D42*E42</f>
        <v/>
      </c>
    </row>
    <row r="43">
      <c r="A43" s="15" t="inlineStr">
        <is>
          <t>SUBTOTAL CAPÍTULO 06:</t>
        </is>
      </c>
      <c r="B43" s="16" t="n"/>
      <c r="C43" s="16" t="n"/>
      <c r="D43" s="16" t="n"/>
      <c r="E43" s="16" t="n"/>
      <c r="F43" s="17">
        <f>SUM(F42:F42)</f>
        <v/>
      </c>
    </row>
    <row r="45">
      <c r="A45" s="7" t="inlineStr">
        <is>
          <t>CAPÍTULO 07 · ESCALERA DE GATO INOX CON PROTECCIÓN DORSAL PARA MANTENIMIENTO (12 ML)</t>
        </is>
      </c>
      <c r="B45" s="8" t="n"/>
      <c r="C45" s="8" t="n"/>
      <c r="D45" s="8" t="n"/>
      <c r="E45" s="8" t="n"/>
      <c r="F45" s="8" t="n"/>
    </row>
    <row r="46">
      <c r="A46" s="9" t="inlineStr">
        <is>
          <t>07.01</t>
        </is>
      </c>
      <c r="B46" s="10" t="inlineStr">
        <is>
          <t>Escalera fija vertical de gato en acero inoxidable AISI 316 de 12,00 m de altura según norma UNE-EN ISO 14122-4. Incluye jaula dorsal (crinolina inox), peldaños antideslizantes, rellano intermedio abatible, desembarco superior a cubierta con barandilla y portilla de cierre automático, y chapa inferior abatible con candado de bloqueo de acceso antiasalto para lado aire.</t>
        </is>
      </c>
      <c r="C46" s="11" t="inlineStr">
        <is>
          <t>ml</t>
        </is>
      </c>
      <c r="D46" s="18" t="n">
        <v>14.4</v>
      </c>
      <c r="E46" s="13" t="n">
        <v>325</v>
      </c>
      <c r="F46" s="14">
        <f>D46*E46</f>
        <v/>
      </c>
    </row>
    <row r="47">
      <c r="A47" s="9" t="inlineStr">
        <is>
          <t>07.02</t>
        </is>
      </c>
      <c r="B47" s="10" t="inlineStr">
        <is>
          <t>Mano de obra especializada de montaje, izado con plataforma elevadora, anclaje y fijación estructural reforzada con tornillería inox A4.</t>
        </is>
      </c>
      <c r="C47" s="11" t="inlineStr">
        <is>
          <t>ml</t>
        </is>
      </c>
      <c r="D47" s="18" t="n">
        <v>14.4</v>
      </c>
      <c r="E47" s="13" t="n">
        <v>99.17</v>
      </c>
      <c r="F47" s="14">
        <f>D47*E47</f>
        <v/>
      </c>
    </row>
    <row r="48">
      <c r="A48" s="15" t="inlineStr">
        <is>
          <t>SUBTOTAL CAPÍTULO 07:</t>
        </is>
      </c>
      <c r="B48" s="16" t="n"/>
      <c r="C48" s="16" t="n"/>
      <c r="D48" s="16" t="n"/>
      <c r="E48" s="16" t="n"/>
      <c r="F48" s="17">
        <f>SUM(F46:F47)</f>
        <v/>
      </c>
    </row>
    <row r="50">
      <c r="A50" s="7" t="inlineStr">
        <is>
          <t>CAPÍTULO 08 · MEDIOS AUXILIARES Y MAQUINARIA EN OBRA (PLAZO 3 MESES)</t>
        </is>
      </c>
      <c r="B50" s="8" t="n"/>
      <c r="C50" s="8" t="n"/>
      <c r="D50" s="8" t="n"/>
      <c r="E50" s="8" t="n"/>
      <c r="F50" s="8" t="n"/>
    </row>
    <row r="51">
      <c r="A51" s="9" t="inlineStr">
        <is>
          <t>08.01</t>
        </is>
      </c>
      <c r="B51" s="10" t="inlineStr">
        <is>
          <t>Alquiler y permanencia de 2 plataformas elevadoras articuladas/tijera diésel 4x4 homologadas AENA durante los 3 meses de obra (incl. seguro y mantenimiento), camión grúa autopropulsada para izado de paquetes y desescombro en fases continuas, combustible y logística interior en Lado Aire.</t>
        </is>
      </c>
      <c r="C51" s="11" t="inlineStr">
        <is>
          <t>PA</t>
        </is>
      </c>
      <c r="D51" s="12" t="n">
        <v>1</v>
      </c>
      <c r="E51" s="13" t="n">
        <v>21600</v>
      </c>
      <c r="F51" s="14">
        <f>D51*E51</f>
        <v/>
      </c>
    </row>
    <row r="52">
      <c r="A52" s="15" t="inlineStr">
        <is>
          <t>SUBTOTAL CAPÍTULO 08:</t>
        </is>
      </c>
      <c r="B52" s="16" t="n"/>
      <c r="C52" s="16" t="n"/>
      <c r="D52" s="16" t="n"/>
      <c r="E52" s="16" t="n"/>
      <c r="F52" s="17">
        <f>SUM(F51:F51)</f>
        <v/>
      </c>
    </row>
    <row r="54">
      <c r="A54" s="5" t="inlineStr">
        <is>
          <t>RESUMEN ECONÓMICO GENERAL</t>
        </is>
      </c>
    </row>
    <row r="55">
      <c r="A55" s="19" t="inlineStr">
        <is>
          <t>TOTAL BASE IMPONIBLE (IVA no incluido)</t>
        </is>
      </c>
      <c r="B55" s="20" t="n"/>
      <c r="C55" s="20" t="n"/>
      <c r="D55" s="20" t="n"/>
      <c r="E55" s="20" t="n"/>
      <c r="F55" s="21">
        <f>F13+F20+F27+F35+F39+F43+F48+F52</f>
        <v/>
      </c>
    </row>
    <row r="56">
      <c r="A56" s="22" t="inlineStr">
        <is>
          <t>Impuesto sobre el Valor Añadido (IVA Aplicable)</t>
        </is>
      </c>
      <c r="B56" s="23" t="n"/>
      <c r="C56" s="23" t="n"/>
      <c r="D56" s="23" t="n"/>
      <c r="E56" s="24" t="n">
        <v>0.21</v>
      </c>
      <c r="F56" s="13">
        <f>F55*E56</f>
        <v/>
      </c>
    </row>
    <row r="57">
      <c r="A57" s="25" t="inlineStr">
        <is>
          <t>TOTAL GENERAL PRESUPUESTO CON IVA</t>
        </is>
      </c>
      <c r="B57" s="26" t="n"/>
      <c r="C57" s="26" t="n"/>
      <c r="D57" s="26" t="n"/>
      <c r="E57" s="26" t="n"/>
      <c r="F57" s="27">
        <f>F55+F56</f>
        <v/>
      </c>
    </row>
  </sheetData>
  <mergeCells count="22">
    <mergeCell ref="A41:F41"/>
    <mergeCell ref="A39:E39"/>
    <mergeCell ref="A54:F54"/>
    <mergeCell ref="A48:E48"/>
    <mergeCell ref="A37:F37"/>
    <mergeCell ref="A50:F50"/>
    <mergeCell ref="A2:F2"/>
    <mergeCell ref="A22:F22"/>
    <mergeCell ref="A29:F29"/>
    <mergeCell ref="A27:E27"/>
    <mergeCell ref="A55:E55"/>
    <mergeCell ref="A57:E57"/>
    <mergeCell ref="A9:F9"/>
    <mergeCell ref="A15:F15"/>
    <mergeCell ref="A35:E35"/>
    <mergeCell ref="A56:D56"/>
    <mergeCell ref="A20:E20"/>
    <mergeCell ref="A43:E43"/>
    <mergeCell ref="A52:E52"/>
    <mergeCell ref="A1:F1"/>
    <mergeCell ref="A45:F45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65" customWidth="1" min="2" max="2"/>
    <col width="8" customWidth="1" min="3" max="3"/>
    <col width="14" customWidth="1" min="4" max="4"/>
    <col width="12" customWidth="1" min="5" max="5"/>
    <col width="15" customWidth="1" min="6" max="6"/>
    <col width="16" customWidth="1" min="7" max="7"/>
    <col width="18" customWidth="1" min="8" max="8"/>
  </cols>
  <sheetData>
    <row r="1">
      <c r="A1" s="1" t="inlineStr">
        <is>
          <t>ESTUDIO TÉCNICO, ESCANDALLO Y CONTROL DE MARGEN (+20%)</t>
        </is>
      </c>
    </row>
    <row r="2">
      <c r="A2" s="2" t="inlineStr">
        <is>
          <t>Desglose entre Mediciones Base de Obra, Factor de Incremento en Unidades y Precios Unitarios</t>
        </is>
      </c>
    </row>
    <row r="4">
      <c r="A4" s="3" t="inlineStr">
        <is>
          <t>PARÁMETRO INCREMENTO EXTRA (UNIDADES):</t>
        </is>
      </c>
      <c r="B4" s="28" t="n">
        <v>0.2</v>
      </c>
      <c r="C4" s="29" t="inlineStr">
        <is>
          <t>(Modificable en celda B4: recalcula todas las partidas)</t>
        </is>
      </c>
    </row>
    <row r="6">
      <c r="A6" s="5" t="inlineStr">
        <is>
          <t>CÓDIGO</t>
        </is>
      </c>
      <c r="B6" s="6" t="inlineStr">
        <is>
          <t>CONCEPTO / DESCRIPCIÓN TÉCNICA</t>
        </is>
      </c>
      <c r="C6" s="5" t="inlineStr">
        <is>
          <t>UD.</t>
        </is>
      </c>
      <c r="D6" s="5" t="inlineStr">
        <is>
          <t>CANTIDAD BASE</t>
        </is>
      </c>
      <c r="E6" s="5" t="inlineStr">
        <is>
          <t>EXTRA %</t>
        </is>
      </c>
      <c r="F6" s="5" t="inlineStr">
        <is>
          <t>CANTIDAD PRESUP.</t>
        </is>
      </c>
      <c r="G6" s="5" t="inlineStr">
        <is>
          <t>PRECIO UNIT.</t>
        </is>
      </c>
      <c r="H6" s="5" t="inlineStr">
        <is>
          <t>IMPORTE TOTAL</t>
        </is>
      </c>
    </row>
    <row r="7">
      <c r="A7" s="7" t="inlineStr">
        <is>
          <t>CAPÍTULO 01 · TRABAJOS PREVIOS, SEGURIDAD Y TRAMITACIÓN LADO AIRE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9" t="inlineStr">
        <is>
          <t>01.01</t>
        </is>
      </c>
      <c r="B8" s="10" t="inlineStr">
        <is>
          <t>Tramitación acreditaciones AENA, cursos AVSEC y permisos maquinaria (3 meses)</t>
        </is>
      </c>
      <c r="C8" s="11" t="inlineStr">
        <is>
          <t>PA</t>
        </is>
      </c>
      <c r="D8" s="12" t="n">
        <v>1</v>
      </c>
      <c r="E8" s="30" t="n">
        <v>0</v>
      </c>
      <c r="F8" s="31">
        <f>D8*(1+E8)</f>
        <v/>
      </c>
      <c r="G8" s="13" t="n">
        <v>4200</v>
      </c>
      <c r="H8" s="14">
        <f>F8*G8</f>
        <v/>
      </c>
    </row>
    <row r="9">
      <c r="A9" s="9" t="inlineStr">
        <is>
          <t>01.02</t>
        </is>
      </c>
      <c r="B9" s="10" t="inlineStr">
        <is>
          <t>Instalación de redes de seguridad anticaídas bajo cubierta (3 meses)</t>
        </is>
      </c>
      <c r="C9" s="11" t="inlineStr">
        <is>
          <t>m²</t>
        </is>
      </c>
      <c r="D9" s="12" t="n">
        <v>1625</v>
      </c>
      <c r="E9" s="30">
        <f>+$B$4</f>
        <v/>
      </c>
      <c r="F9" s="31">
        <f>D9*(1+E9)</f>
        <v/>
      </c>
      <c r="G9" s="13" t="n">
        <v>4.2</v>
      </c>
      <c r="H9" s="14">
        <f>F9*G9</f>
        <v/>
      </c>
    </row>
    <row r="10">
      <c r="A10" s="9" t="inlineStr">
        <is>
          <t>01.03</t>
        </is>
      </c>
      <c r="B10" s="10" t="inlineStr">
        <is>
          <t>Balizamiento perimetral continuo, control FOD y líneas de vida provisionales</t>
        </is>
      </c>
      <c r="C10" s="11" t="inlineStr">
        <is>
          <t>PA</t>
        </is>
      </c>
      <c r="D10" s="12" t="n">
        <v>1</v>
      </c>
      <c r="E10" s="30" t="n">
        <v>0</v>
      </c>
      <c r="F10" s="31">
        <f>D10*(1+E10)</f>
        <v/>
      </c>
      <c r="G10" s="13" t="n">
        <v>3000</v>
      </c>
      <c r="H10" s="14">
        <f>F10*G10</f>
        <v/>
      </c>
    </row>
    <row r="11">
      <c r="A11" s="15" t="inlineStr">
        <is>
          <t>SUBTOTAL CAPÍTULO 01:</t>
        </is>
      </c>
      <c r="B11" s="16" t="n"/>
      <c r="C11" s="16" t="n"/>
      <c r="D11" s="16" t="n"/>
      <c r="E11" s="16" t="n"/>
      <c r="F11" s="16" t="n"/>
      <c r="G11" s="16" t="n"/>
      <c r="H11" s="17">
        <f>SUM(H8:H10)</f>
        <v/>
      </c>
    </row>
    <row r="13">
      <c r="A13" s="7" t="inlineStr">
        <is>
          <t>CAPÍTULO 02 · DESMONTAJE Y GESTIÓN INTEGRAL DE RESIDUOS CONTAMINADOS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9" t="inlineStr">
        <is>
          <t>02.01</t>
        </is>
      </c>
      <c r="B14" s="10" t="inlineStr">
        <is>
          <t>Desmontaje manual y mecánico de cubierta existente dañada y acopio</t>
        </is>
      </c>
      <c r="C14" s="11" t="inlineStr">
        <is>
          <t>m²</t>
        </is>
      </c>
      <c r="D14" s="12" t="n">
        <v>1625</v>
      </c>
      <c r="E14" s="30">
        <f>+$B$4</f>
        <v/>
      </c>
      <c r="F14" s="31">
        <f>D14*(1+E14)</f>
        <v/>
      </c>
      <c r="G14" s="13" t="n">
        <v>7.8</v>
      </c>
      <c r="H14" s="14">
        <f>F14*G14</f>
        <v/>
      </c>
    </row>
    <row r="15">
      <c r="A15" s="9" t="inlineStr">
        <is>
          <t>02.02</t>
        </is>
      </c>
      <c r="B15" s="10" t="inlineStr">
        <is>
          <t>Desmontaje de chapas de petos exteriores, panel interior y rematería</t>
        </is>
      </c>
      <c r="C15" s="11" t="inlineStr">
        <is>
          <t>m²</t>
        </is>
      </c>
      <c r="D15" s="18" t="n">
        <v>662.4</v>
      </c>
      <c r="E15" s="30">
        <f>+$B$4</f>
        <v/>
      </c>
      <c r="F15" s="32">
        <f>D15*(1+E15)</f>
        <v/>
      </c>
      <c r="G15" s="13" t="n">
        <v>6.5</v>
      </c>
      <c r="H15" s="14">
        <f>F15*G15</f>
        <v/>
      </c>
    </row>
    <row r="16">
      <c r="A16" s="9" t="inlineStr">
        <is>
          <t>02.03</t>
        </is>
      </c>
      <c r="B16" s="10" t="inlineStr">
        <is>
          <t>Bajada controlada de material a cota cero con grúa telescópica</t>
        </is>
      </c>
      <c r="C16" s="11" t="inlineStr">
        <is>
          <t>h</t>
        </is>
      </c>
      <c r="D16" s="12" t="n">
        <v>60</v>
      </c>
      <c r="E16" s="30">
        <f>+$B$4</f>
        <v/>
      </c>
      <c r="F16" s="31">
        <f>D16*(1+E16)</f>
        <v/>
      </c>
      <c r="G16" s="13" t="n">
        <v>95</v>
      </c>
      <c r="H16" s="14">
        <f>F16*G16</f>
        <v/>
      </c>
    </row>
    <row r="17">
      <c r="A17" s="9" t="inlineStr">
        <is>
          <t>02.04</t>
        </is>
      </c>
      <c r="B17" s="10" t="inlineStr">
        <is>
          <t>Gestión integral de residuos contaminados: contenedores estancos, transporte y canon vertedero homologado</t>
        </is>
      </c>
      <c r="C17" s="11" t="inlineStr">
        <is>
          <t>m²</t>
        </is>
      </c>
      <c r="D17" s="18" t="n">
        <v>2287.4</v>
      </c>
      <c r="E17" s="30">
        <f>+$B$4</f>
        <v/>
      </c>
      <c r="F17" s="32">
        <f>D17*(1+E17)</f>
        <v/>
      </c>
      <c r="G17" s="13" t="n">
        <v>8.800000000000001</v>
      </c>
      <c r="H17" s="14">
        <f>F17*G17</f>
        <v/>
      </c>
    </row>
    <row r="18">
      <c r="A18" s="15" t="inlineStr">
        <is>
          <t>SUBTOTAL CAPÍTULO 02:</t>
        </is>
      </c>
      <c r="B18" s="16" t="n"/>
      <c r="C18" s="16" t="n"/>
      <c r="D18" s="16" t="n"/>
      <c r="E18" s="16" t="n"/>
      <c r="F18" s="16" t="n"/>
      <c r="G18" s="16" t="n"/>
      <c r="H18" s="17">
        <f>SUM(H14:H17)</f>
        <v/>
      </c>
    </row>
    <row r="20">
      <c r="A20" s="7" t="inlineStr">
        <is>
          <t>CAPÍTULO 03 · SUMINISTRO E INSTALACIÓN DE NUEVA CUBIERTA Y LUCERNARIOS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9" t="inlineStr">
        <is>
          <t>03.01</t>
        </is>
      </c>
      <c r="B21" s="10" t="inlineStr">
        <is>
          <t>Panel sándwich de cubierta 50 mm calidad marina exterior + blanco interior</t>
        </is>
      </c>
      <c r="C21" s="11" t="inlineStr">
        <is>
          <t>m²</t>
        </is>
      </c>
      <c r="D21" s="18" t="n">
        <v>1462.5</v>
      </c>
      <c r="E21" s="30">
        <f>+$B$4</f>
        <v/>
      </c>
      <c r="F21" s="32">
        <f>D21*(1+E21)</f>
        <v/>
      </c>
      <c r="G21" s="13" t="n">
        <v>55</v>
      </c>
      <c r="H21" s="14">
        <f>F21*G21</f>
        <v/>
      </c>
    </row>
    <row r="22">
      <c r="A22" s="9" t="inlineStr">
        <is>
          <t>03.02</t>
        </is>
      </c>
      <c r="B22" s="10" t="inlineStr">
        <is>
          <t>Lucernarios de policarbonato celular grecado 30-40 mm UV (10%)</t>
        </is>
      </c>
      <c r="C22" s="11" t="inlineStr">
        <is>
          <t>m²</t>
        </is>
      </c>
      <c r="D22" s="18" t="n">
        <v>162.5</v>
      </c>
      <c r="E22" s="30">
        <f>+$B$4</f>
        <v/>
      </c>
      <c r="F22" s="32">
        <f>D22*(1+E22)</f>
        <v/>
      </c>
      <c r="G22" s="13" t="n">
        <v>48</v>
      </c>
      <c r="H22" s="14">
        <f>F22*G22</f>
        <v/>
      </c>
    </row>
    <row r="23">
      <c r="A23" s="9" t="inlineStr">
        <is>
          <t>03.03</t>
        </is>
      </c>
      <c r="B23" s="10" t="inlineStr">
        <is>
          <t>Tornillería autotaladrante reforzada con arandela EPDM y caballetes</t>
        </is>
      </c>
      <c r="C23" s="11" t="inlineStr">
        <is>
          <t>Ud.</t>
        </is>
      </c>
      <c r="D23" s="12" t="n">
        <v>6250</v>
      </c>
      <c r="E23" s="30">
        <f>+$B$4</f>
        <v/>
      </c>
      <c r="F23" s="31">
        <f>D23*(1+E23)</f>
        <v/>
      </c>
      <c r="G23" s="13" t="n">
        <v>0.38</v>
      </c>
      <c r="H23" s="14">
        <f>F23*G23</f>
        <v/>
      </c>
    </row>
    <row r="24">
      <c r="A24" s="9" t="inlineStr">
        <is>
          <t>03.04</t>
        </is>
      </c>
      <c r="B24" s="10" t="inlineStr">
        <is>
          <t>Mano de obra de colocación de panel sándwich y lucernarios</t>
        </is>
      </c>
      <c r="C24" s="11" t="inlineStr">
        <is>
          <t>m²</t>
        </is>
      </c>
      <c r="D24" s="12" t="n">
        <v>1625</v>
      </c>
      <c r="E24" s="30">
        <f>+$B$4</f>
        <v/>
      </c>
      <c r="F24" s="31">
        <f>D24*(1+E24)</f>
        <v/>
      </c>
      <c r="G24" s="13" t="n">
        <v>65.3</v>
      </c>
      <c r="H24" s="14">
        <f>F24*G24</f>
        <v/>
      </c>
    </row>
    <row r="25">
      <c r="A25" s="15" t="inlineStr">
        <is>
          <t>SUBTOTAL CAPÍTULO 03:</t>
        </is>
      </c>
      <c r="B25" s="16" t="n"/>
      <c r="C25" s="16" t="n"/>
      <c r="D25" s="16" t="n"/>
      <c r="E25" s="16" t="n"/>
      <c r="F25" s="16" t="n"/>
      <c r="G25" s="16" t="n"/>
      <c r="H25" s="17">
        <f>SUM(H21:H24)</f>
        <v/>
      </c>
    </row>
    <row r="27">
      <c r="A27" s="7" t="inlineStr">
        <is>
          <t>CAPÍTULO 04 · PETOS PERIMETRALES (CHAPA HDX Y PANEL FACHADA) Y REMATERÍA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9" t="inlineStr">
        <is>
          <t>04.01</t>
        </is>
      </c>
      <c r="B28" s="10" t="inlineStr">
        <is>
          <t>Chapa prelacada blanca Granite HDX 55 µm (C5-M) peto superior e inferior</t>
        </is>
      </c>
      <c r="C28" s="11" t="inlineStr">
        <is>
          <t>m²</t>
        </is>
      </c>
      <c r="D28" s="18" t="n">
        <v>441.6</v>
      </c>
      <c r="E28" s="30">
        <f>+$B$4</f>
        <v/>
      </c>
      <c r="F28" s="32">
        <f>D28*(1+E28)</f>
        <v/>
      </c>
      <c r="G28" s="13" t="n">
        <v>38</v>
      </c>
      <c r="H28" s="14">
        <f>F28*G28</f>
        <v/>
      </c>
    </row>
    <row r="29">
      <c r="A29" s="9" t="inlineStr">
        <is>
          <t>04.02</t>
        </is>
      </c>
      <c r="B29" s="10" t="inlineStr">
        <is>
          <t>Panel sándwich de fachada 50 mm cara interior del peto</t>
        </is>
      </c>
      <c r="C29" s="11" t="inlineStr">
        <is>
          <t>m²</t>
        </is>
      </c>
      <c r="D29" s="18" t="n">
        <v>220.8</v>
      </c>
      <c r="E29" s="30">
        <f>+$B$4</f>
        <v/>
      </c>
      <c r="F29" s="32">
        <f>D29*(1+E29)</f>
        <v/>
      </c>
      <c r="G29" s="13" t="n">
        <v>55</v>
      </c>
      <c r="H29" s="14">
        <f>F29*G29</f>
        <v/>
      </c>
    </row>
    <row r="30">
      <c r="A30" s="9" t="inlineStr">
        <is>
          <t>04.03</t>
        </is>
      </c>
      <c r="B30" s="10" t="inlineStr">
        <is>
          <t>Mano de obra montaje chapas HDX y panel fachada en petos</t>
        </is>
      </c>
      <c r="C30" s="11" t="inlineStr">
        <is>
          <t>m²</t>
        </is>
      </c>
      <c r="D30" s="18" t="n">
        <v>662.4</v>
      </c>
      <c r="E30" s="30">
        <f>+$B$4</f>
        <v/>
      </c>
      <c r="F30" s="32">
        <f>D30*(1+E30)</f>
        <v/>
      </c>
      <c r="G30" s="13" t="n">
        <v>12.5</v>
      </c>
      <c r="H30" s="14">
        <f>F30*G30</f>
        <v/>
      </c>
    </row>
    <row r="31">
      <c r="A31" s="9" t="inlineStr">
        <is>
          <t>04.04</t>
        </is>
      </c>
      <c r="B31" s="10" t="inlineStr">
        <is>
          <t>Rematería conformada en chapa HDX: cumbrera, albardillas y baberos</t>
        </is>
      </c>
      <c r="C31" s="11" t="inlineStr">
        <is>
          <t>ml</t>
        </is>
      </c>
      <c r="D31" s="12" t="n">
        <v>438</v>
      </c>
      <c r="E31" s="30">
        <f>+$B$4</f>
        <v/>
      </c>
      <c r="F31" s="31">
        <f>D31*(1+E31)</f>
        <v/>
      </c>
      <c r="G31" s="13" t="n">
        <v>16.5</v>
      </c>
      <c r="H31" s="14">
        <f>F31*G31</f>
        <v/>
      </c>
    </row>
    <row r="32">
      <c r="A32" s="9" t="inlineStr">
        <is>
          <t>04.05</t>
        </is>
      </c>
      <c r="B32" s="10" t="inlineStr">
        <is>
          <t>Mano de obra colocación rematería perimetral y sellados MS</t>
        </is>
      </c>
      <c r="C32" s="11" t="inlineStr">
        <is>
          <t>ml</t>
        </is>
      </c>
      <c r="D32" s="12" t="n">
        <v>438</v>
      </c>
      <c r="E32" s="30">
        <f>+$B$4</f>
        <v/>
      </c>
      <c r="F32" s="31">
        <f>D32*(1+E32)</f>
        <v/>
      </c>
      <c r="G32" s="13" t="n">
        <v>8</v>
      </c>
      <c r="H32" s="14">
        <f>F32*G32</f>
        <v/>
      </c>
    </row>
    <row r="33">
      <c r="A33" s="15" t="inlineStr">
        <is>
          <t>SUBTOTAL CAPÍTULO 04:</t>
        </is>
      </c>
      <c r="B33" s="16" t="n"/>
      <c r="C33" s="16" t="n"/>
      <c r="D33" s="16" t="n"/>
      <c r="E33" s="16" t="n"/>
      <c r="F33" s="16" t="n"/>
      <c r="G33" s="16" t="n"/>
      <c r="H33" s="17">
        <f>SUM(H28:H32)</f>
        <v/>
      </c>
    </row>
    <row r="35">
      <c r="A35" s="7" t="inlineStr">
        <is>
          <t>CAPÍTULO 05 · CANALONES HDX, BAJANTES Y BABEROS DE ENTREGA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9" t="inlineStr">
        <is>
          <t>05.01</t>
        </is>
      </c>
      <c r="B36" s="10" t="inlineStr">
        <is>
          <t>Canalón continuo conformado en chapa HDX (ambos aleros 140 ml + bajantes)</t>
        </is>
      </c>
      <c r="C36" s="11" t="inlineStr">
        <is>
          <t>ml</t>
        </is>
      </c>
      <c r="D36" s="12" t="n">
        <v>140</v>
      </c>
      <c r="E36" s="30">
        <f>+$B$4</f>
        <v/>
      </c>
      <c r="F36" s="31">
        <f>D36*(1+E36)</f>
        <v/>
      </c>
      <c r="G36" s="13" t="n">
        <v>97.23428571428572</v>
      </c>
      <c r="H36" s="14">
        <f>F36*G36</f>
        <v/>
      </c>
    </row>
    <row r="37">
      <c r="A37" s="15" t="inlineStr">
        <is>
          <t>SUBTOTAL CAPÍTULO 05:</t>
        </is>
      </c>
      <c r="B37" s="16" t="n"/>
      <c r="C37" s="16" t="n"/>
      <c r="D37" s="16" t="n"/>
      <c r="E37" s="16" t="n"/>
      <c r="F37" s="16" t="n"/>
      <c r="G37" s="16" t="n"/>
      <c r="H37" s="17">
        <f>SUM(H36:H36)</f>
        <v/>
      </c>
    </row>
    <row r="39">
      <c r="A39" s="7" t="inlineStr">
        <is>
          <t>CAPÍTULO 06 · SISTEMA DE LÍNEA DE VIDA LUX-TOP (EN 795-C)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9" t="inlineStr">
        <is>
          <t>06.01</t>
        </is>
      </c>
      <c r="B40" s="10" t="inlineStr">
        <is>
          <t>Línea de vida continua LUX-TOP inox AISI 316 Ø8 mm cumbrera (70 ml base)</t>
        </is>
      </c>
      <c r="C40" s="11" t="inlineStr">
        <is>
          <t>ml</t>
        </is>
      </c>
      <c r="D40" s="12" t="n">
        <v>70</v>
      </c>
      <c r="E40" s="30">
        <f>+$B$4</f>
        <v/>
      </c>
      <c r="F40" s="31">
        <f>D40*(1+E40)</f>
        <v/>
      </c>
      <c r="G40" s="13" t="n">
        <v>120</v>
      </c>
      <c r="H40" s="14">
        <f>F40*G40</f>
        <v/>
      </c>
    </row>
    <row r="41">
      <c r="A41" s="15" t="inlineStr">
        <is>
          <t>SUBTOTAL CAPÍTULO 06:</t>
        </is>
      </c>
      <c r="B41" s="16" t="n"/>
      <c r="C41" s="16" t="n"/>
      <c r="D41" s="16" t="n"/>
      <c r="E41" s="16" t="n"/>
      <c r="F41" s="16" t="n"/>
      <c r="G41" s="16" t="n"/>
      <c r="H41" s="17">
        <f>SUM(H40:H40)</f>
        <v/>
      </c>
    </row>
    <row r="43">
      <c r="A43" s="7" t="inlineStr">
        <is>
          <t>CAPÍTULO 07 · ESCALERA DE GATO INOX CON PROTECCIÓN DORSAL (12 ML)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9" t="inlineStr">
        <is>
          <t>07.01</t>
        </is>
      </c>
      <c r="B44" s="10" t="inlineStr">
        <is>
          <t>Fabricación y suministro de escalera vertical de gato inox AISI 316 (12 m)</t>
        </is>
      </c>
      <c r="C44" s="11" t="inlineStr">
        <is>
          <t>ml</t>
        </is>
      </c>
      <c r="D44" s="12" t="n">
        <v>12</v>
      </c>
      <c r="E44" s="30">
        <f>+$B$4</f>
        <v/>
      </c>
      <c r="F44" s="31">
        <f>D44*(1+E44)</f>
        <v/>
      </c>
      <c r="G44" s="13" t="n">
        <v>325</v>
      </c>
      <c r="H44" s="14">
        <f>F44*G44</f>
        <v/>
      </c>
    </row>
    <row r="45">
      <c r="A45" s="9" t="inlineStr">
        <is>
          <t>07.02</t>
        </is>
      </c>
      <c r="B45" s="10" t="inlineStr">
        <is>
          <t>Mano de obra de montaje, izado con plataforma y anclaje reforzado A4</t>
        </is>
      </c>
      <c r="C45" s="11" t="inlineStr">
        <is>
          <t>ml</t>
        </is>
      </c>
      <c r="D45" s="12" t="n">
        <v>12</v>
      </c>
      <c r="E45" s="30">
        <f>+$B$4</f>
        <v/>
      </c>
      <c r="F45" s="31">
        <f>D45*(1+E45)</f>
        <v/>
      </c>
      <c r="G45" s="13" t="n">
        <v>99.16666666666667</v>
      </c>
      <c r="H45" s="14">
        <f>F45*G45</f>
        <v/>
      </c>
    </row>
    <row r="46">
      <c r="A46" s="15" t="inlineStr">
        <is>
          <t>SUBTOTAL CAPÍTULO 07:</t>
        </is>
      </c>
      <c r="B46" s="16" t="n"/>
      <c r="C46" s="16" t="n"/>
      <c r="D46" s="16" t="n"/>
      <c r="E46" s="16" t="n"/>
      <c r="F46" s="16" t="n"/>
      <c r="G46" s="16" t="n"/>
      <c r="H46" s="17">
        <f>SUM(H44:H45)</f>
        <v/>
      </c>
    </row>
    <row r="48">
      <c r="A48" s="7" t="inlineStr">
        <is>
          <t>CAPÍTULO 08 · MEDIOS AUXILIARES Y MAQUINARIA EN OBRA (3 MESES)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9" t="inlineStr">
        <is>
          <t>08.01</t>
        </is>
      </c>
      <c r="B49" s="10" t="inlineStr">
        <is>
          <t>Plataformas elevadoras 4x4 homologadas AENA (3 meses), camión grúa y logística</t>
        </is>
      </c>
      <c r="C49" s="11" t="inlineStr">
        <is>
          <t>PA</t>
        </is>
      </c>
      <c r="D49" s="12" t="n">
        <v>1</v>
      </c>
      <c r="E49" s="30" t="n">
        <v>0</v>
      </c>
      <c r="F49" s="31">
        <f>D49*(1+E49)</f>
        <v/>
      </c>
      <c r="G49" s="13" t="n">
        <v>21600</v>
      </c>
      <c r="H49" s="14">
        <f>F49*G49</f>
        <v/>
      </c>
    </row>
    <row r="50">
      <c r="A50" s="15" t="inlineStr">
        <is>
          <t>SUBTOTAL CAPÍTULO 08:</t>
        </is>
      </c>
      <c r="B50" s="16" t="n"/>
      <c r="C50" s="16" t="n"/>
      <c r="D50" s="16" t="n"/>
      <c r="E50" s="16" t="n"/>
      <c r="F50" s="16" t="n"/>
      <c r="G50" s="16" t="n"/>
      <c r="H50" s="17">
        <f>SUM(H49:H49)</f>
        <v/>
      </c>
    </row>
    <row r="52">
      <c r="A52" s="25" t="inlineStr">
        <is>
          <t>TOTAL BASE IMPONIBLE (ESTUDIO DINÁMICO)</t>
        </is>
      </c>
      <c r="B52" s="26" t="n"/>
      <c r="C52" s="26" t="n"/>
      <c r="D52" s="26" t="n"/>
      <c r="E52" s="26" t="n"/>
      <c r="F52" s="26" t="n"/>
      <c r="G52" s="26" t="n"/>
      <c r="H52" s="27">
        <f>H11+H18+H25+H33+H37+H41+H46+H50</f>
        <v/>
      </c>
    </row>
  </sheetData>
  <mergeCells count="19">
    <mergeCell ref="A48:H48"/>
    <mergeCell ref="A39:H39"/>
    <mergeCell ref="A52:G52"/>
    <mergeCell ref="A1:H1"/>
    <mergeCell ref="A7:H7"/>
    <mergeCell ref="A27:H27"/>
    <mergeCell ref="A11:G11"/>
    <mergeCell ref="A2:H2"/>
    <mergeCell ref="A25:G25"/>
    <mergeCell ref="A41:G41"/>
    <mergeCell ref="A46:G46"/>
    <mergeCell ref="A37:G37"/>
    <mergeCell ref="A18:G18"/>
    <mergeCell ref="A35:H35"/>
    <mergeCell ref="A20:H20"/>
    <mergeCell ref="A43:H43"/>
    <mergeCell ref="A50:G50"/>
    <mergeCell ref="A13:H13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60" customWidth="1" min="2" max="2"/>
    <col width="20" customWidth="1" min="3" max="3"/>
    <col width="18" customWidth="1" min="4" max="4"/>
    <col width="22" customWidth="1" min="5" max="5"/>
  </cols>
  <sheetData>
    <row r="1">
      <c r="A1" s="1" t="inlineStr">
        <is>
          <t>RESUMEN EJECUTIVO Y CUADRO DE MANDO · CUBIERTA AENA</t>
        </is>
      </c>
    </row>
    <row r="2">
      <c r="A2" s="2" t="inlineStr">
        <is>
          <t>Distribución de Costes por Capítulos, Ratios Económicos y Métricas Clave de Proyecto</t>
        </is>
      </c>
    </row>
    <row r="4">
      <c r="A4" s="5" t="inlineStr">
        <is>
          <t>CÓDIGO</t>
        </is>
      </c>
      <c r="B4" s="6" t="inlineStr">
        <is>
          <t>CAPÍTULO / ALCANCE TÉCNICO</t>
        </is>
      </c>
      <c r="C4" s="5" t="inlineStr">
        <is>
          <t>IMPORTE (€)</t>
        </is>
      </c>
      <c r="D4" s="5" t="inlineStr">
        <is>
          <t>% SOBRE TOTAL</t>
        </is>
      </c>
      <c r="E4" s="5" t="inlineStr">
        <is>
          <t>RATIO €/M² CUBIERTA</t>
        </is>
      </c>
    </row>
    <row r="5">
      <c r="A5" s="11" t="inlineStr">
        <is>
          <t>CAP. 01</t>
        </is>
      </c>
      <c r="B5" s="33" t="inlineStr">
        <is>
          <t>Trabajos Previos, Seguridad y Tramitación AENA</t>
        </is>
      </c>
      <c r="C5" s="14">
        <f>'Presupuesto Oficial AENA'!F13</f>
        <v/>
      </c>
      <c r="D5" s="34">
        <f>C5/$C$13</f>
        <v/>
      </c>
      <c r="E5" s="13">
        <f>C5/1950</f>
        <v/>
      </c>
    </row>
    <row r="6">
      <c r="A6" s="11" t="inlineStr">
        <is>
          <t>CAP. 02</t>
        </is>
      </c>
      <c r="B6" s="33" t="inlineStr">
        <is>
          <t>Desmontaje y Gestión Integral Residuos Contaminados</t>
        </is>
      </c>
      <c r="C6" s="14">
        <f>'Presupuesto Oficial AENA'!F20</f>
        <v/>
      </c>
      <c r="D6" s="34">
        <f>C6/$C$13</f>
        <v/>
      </c>
      <c r="E6" s="13">
        <f>C6/1950</f>
        <v/>
      </c>
    </row>
    <row r="7">
      <c r="A7" s="11" t="inlineStr">
        <is>
          <t>CAP. 03</t>
        </is>
      </c>
      <c r="B7" s="33" t="inlineStr">
        <is>
          <t>Suministro e Instalación Cubierta y Lucernarios (1.950 m²)</t>
        </is>
      </c>
      <c r="C7" s="14">
        <f>'Presupuesto Oficial AENA'!F27</f>
        <v/>
      </c>
      <c r="D7" s="34">
        <f>C7/$C$13</f>
        <v/>
      </c>
      <c r="E7" s="13">
        <f>C7/1950</f>
        <v/>
      </c>
    </row>
    <row r="8">
      <c r="A8" s="11" t="inlineStr">
        <is>
          <t>CAP. 04</t>
        </is>
      </c>
      <c r="B8" s="33" t="inlineStr">
        <is>
          <t>Petos Perimetrales (Chapa HDX + Panel Fachada) y Rematería</t>
        </is>
      </c>
      <c r="C8" s="14">
        <f>'Presupuesto Oficial AENA'!F35</f>
        <v/>
      </c>
      <c r="D8" s="34">
        <f>C8/$C$13</f>
        <v/>
      </c>
      <c r="E8" s="13">
        <f>C8/1950</f>
        <v/>
      </c>
    </row>
    <row r="9">
      <c r="A9" s="11" t="inlineStr">
        <is>
          <t>CAP. 05</t>
        </is>
      </c>
      <c r="B9" s="33" t="inlineStr">
        <is>
          <t>Canalones HDX, Bajantes y Baberos de Entrega</t>
        </is>
      </c>
      <c r="C9" s="14">
        <f>'Presupuesto Oficial AENA'!F39</f>
        <v/>
      </c>
      <c r="D9" s="34">
        <f>C9/$C$13</f>
        <v/>
      </c>
      <c r="E9" s="13">
        <f>C9/1950</f>
        <v/>
      </c>
    </row>
    <row r="10">
      <c r="A10" s="11" t="inlineStr">
        <is>
          <t>CAP. 06</t>
        </is>
      </c>
      <c r="B10" s="33" t="inlineStr">
        <is>
          <t>Sistema de Línea de Vida LUX-TOP inox AISI 316 (EN 795-C)</t>
        </is>
      </c>
      <c r="C10" s="14">
        <f>'Presupuesto Oficial AENA'!F43</f>
        <v/>
      </c>
      <c r="D10" s="34">
        <f>C10/$C$13</f>
        <v/>
      </c>
      <c r="E10" s="13">
        <f>C10/1950</f>
        <v/>
      </c>
    </row>
    <row r="11">
      <c r="A11" s="11" t="inlineStr">
        <is>
          <t>CAP. 07</t>
        </is>
      </c>
      <c r="B11" s="33" t="inlineStr">
        <is>
          <t>Escalera de Gato Inox AISI 316 con Protección Dorsal (12 ml)</t>
        </is>
      </c>
      <c r="C11" s="14">
        <f>'Presupuesto Oficial AENA'!F48</f>
        <v/>
      </c>
      <c r="D11" s="34">
        <f>C11/$C$13</f>
        <v/>
      </c>
      <c r="E11" s="13">
        <f>C11/1950</f>
        <v/>
      </c>
    </row>
    <row r="12">
      <c r="A12" s="11" t="inlineStr">
        <is>
          <t>CAP. 08</t>
        </is>
      </c>
      <c r="B12" s="33" t="inlineStr">
        <is>
          <t>Medios Auxiliares y Maquinaria en Obra (Plazo 3 Meses)</t>
        </is>
      </c>
      <c r="C12" s="14">
        <f>'Presupuesto Oficial AENA'!F52</f>
        <v/>
      </c>
      <c r="D12" s="34">
        <f>C12/$C$13</f>
        <v/>
      </c>
      <c r="E12" s="13">
        <f>C12/1950</f>
        <v/>
      </c>
    </row>
    <row r="13">
      <c r="A13" s="35" t="inlineStr">
        <is>
          <t>TOTAL BASE IMPONIBLE</t>
        </is>
      </c>
      <c r="B13" s="16" t="n"/>
      <c r="C13" s="36">
        <f>SUM(C5:C12)</f>
        <v/>
      </c>
      <c r="D13" s="37">
        <f>SUM(D5:D12)</f>
        <v/>
      </c>
      <c r="E13" s="36">
        <f>C13/1950</f>
        <v/>
      </c>
    </row>
    <row r="14">
      <c r="A14" s="22" t="inlineStr">
        <is>
          <t>IVA Aplicable (21%)</t>
        </is>
      </c>
      <c r="B14" s="23" t="n"/>
      <c r="C14" s="13">
        <f>C13*0.21</f>
        <v/>
      </c>
      <c r="D14" s="23" t="n"/>
      <c r="E14" s="23" t="n"/>
    </row>
    <row r="15">
      <c r="A15" s="25" t="inlineStr">
        <is>
          <t>TOTAL GENERAL PRESUPUESTO CON IVA</t>
        </is>
      </c>
      <c r="B15" s="26" t="n"/>
      <c r="C15" s="27">
        <f>C13+C14</f>
        <v/>
      </c>
      <c r="D15" s="26" t="n"/>
      <c r="E15" s="26" t="n"/>
    </row>
    <row r="17">
      <c r="A17" s="3" t="inlineStr">
        <is>
          <t>MÉTRICAS Y KPIS PRINCIPALES</t>
        </is>
      </c>
    </row>
    <row r="18">
      <c r="A18" s="38" t="inlineStr">
        <is>
          <t>Superficie Total Cubierta Presupuestada:</t>
        </is>
      </c>
      <c r="C18" s="39" t="inlineStr">
        <is>
          <t>1.950,00 m²</t>
        </is>
      </c>
    </row>
    <row r="19">
      <c r="A19" s="38" t="inlineStr">
        <is>
          <t>Ratio de Coste Total por m² de Cubierta:</t>
        </is>
      </c>
      <c r="C19" s="40">
        <f>C13/1950</f>
        <v/>
      </c>
    </row>
    <row r="20">
      <c r="A20" s="38" t="inlineStr">
        <is>
          <t>Plazo de Ejecución Estimado:</t>
        </is>
      </c>
      <c r="C20" s="39" t="inlineStr">
        <is>
          <t>3 Meses (12 Semanas)</t>
        </is>
      </c>
    </row>
    <row r="21">
      <c r="A21" s="38" t="inlineStr">
        <is>
          <t>Capítulo con Mayor Ponderación Económica:</t>
        </is>
      </c>
      <c r="C21" s="39" t="inlineStr">
        <is>
          <t>Cap. 03 (57,3%)</t>
        </is>
      </c>
    </row>
  </sheetData>
  <mergeCells count="9">
    <mergeCell ref="A20:B20"/>
    <mergeCell ref="A21:B21"/>
    <mergeCell ref="A15:B15"/>
    <mergeCell ref="A2:E2"/>
    <mergeCell ref="A19:B19"/>
    <mergeCell ref="A13:B13"/>
    <mergeCell ref="A1:E1"/>
    <mergeCell ref="A14:B14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2026-08-31T06:19:31Z</dcterms:created>
  <dcterms:modified xsi:type="dcterms:W3CDTF">2026-08-31T06:19:31Z</dcterms:modified>
</cp:coreProperties>
</file>