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OYRSA - Stav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64" customWidth="1" min="1" max="1"/>
    <col width="61" customWidth="1" min="2" max="2"/>
    <col width="6" customWidth="1" min="3" max="3"/>
    <col width="10" customWidth="1" min="4" max="4"/>
    <col width="21" customWidth="1" min="5" max="5"/>
    <col width="15" customWidth="1" min="6" max="6"/>
  </cols>
  <sheetData>
    <row r="1">
      <c r="A1" s="1" t="inlineStr">
        <is>
          <t>PRESUPUESTO OYRSA - STAVION (Electricidad, Clima y Fontanería)</t>
        </is>
      </c>
    </row>
    <row r="2"/>
    <row r="3">
      <c r="A3" s="2" t="inlineStr">
        <is>
          <t>Código</t>
        </is>
      </c>
      <c r="B3" s="2" t="inlineStr">
        <is>
          <t>Concepto</t>
        </is>
      </c>
      <c r="C3" s="2" t="inlineStr">
        <is>
          <t>Ud.</t>
        </is>
      </c>
      <c r="D3" s="2" t="inlineStr">
        <is>
          <t>Cantidad</t>
        </is>
      </c>
      <c r="E3" s="2" t="inlineStr">
        <is>
          <t>Precio Unitario (€)</t>
        </is>
      </c>
      <c r="F3" s="2" t="inlineStr">
        <is>
          <t>Importe (€)</t>
        </is>
      </c>
    </row>
    <row r="4">
      <c r="A4" t="inlineStr">
        <is>
          <t>ICR050b</t>
        </is>
      </c>
      <c r="B4" t="inlineStr">
        <is>
          <t>Rejilla de retorno.</t>
        </is>
      </c>
      <c r="C4" t="inlineStr">
        <is>
          <t>Ud</t>
        </is>
      </c>
      <c r="D4" s="3" t="n">
        <v>4</v>
      </c>
      <c r="E4" s="4" t="n">
        <v>0</v>
      </c>
      <c r="F4" s="4">
        <f>D4*E4</f>
        <v/>
      </c>
    </row>
    <row r="5">
      <c r="A5" t="inlineStr">
        <is>
          <t>ICR070</t>
        </is>
      </c>
      <c r="B5" t="inlineStr">
        <is>
          <t>Rejilla de intemperie.</t>
        </is>
      </c>
      <c r="C5" t="inlineStr">
        <is>
          <t>Ud</t>
        </is>
      </c>
      <c r="D5" s="3" t="n">
        <v>1</v>
      </c>
      <c r="E5" s="4" t="n">
        <v>0</v>
      </c>
      <c r="F5" s="4">
        <f>D5*E5</f>
        <v/>
      </c>
    </row>
    <row r="6">
      <c r="A6" t="inlineStr">
        <is>
          <t>ICR070b</t>
        </is>
      </c>
      <c r="B6" t="inlineStr">
        <is>
          <t>Rejilla de intemperie.</t>
        </is>
      </c>
      <c r="C6" t="inlineStr">
        <is>
          <t>Ud</t>
        </is>
      </c>
      <c r="D6" s="3" t="n">
        <v>1</v>
      </c>
      <c r="E6" s="4" t="n">
        <v>0</v>
      </c>
      <c r="F6" s="4">
        <f>D6*E6</f>
        <v/>
      </c>
    </row>
    <row r="7">
      <c r="A7" t="inlineStr">
        <is>
          <t>PICS2796</t>
        </is>
      </c>
      <c r="B7" t="inlineStr">
        <is>
          <t>Armario rack de 19" de 42U 2200x600x800 mm</t>
        </is>
      </c>
      <c r="C7" t="inlineStr">
        <is>
          <t>Ud</t>
        </is>
      </c>
      <c r="D7" s="3" t="n">
        <v>1</v>
      </c>
      <c r="E7" s="4" t="n">
        <v>0</v>
      </c>
      <c r="F7" s="4">
        <f>D7*E7</f>
        <v/>
      </c>
    </row>
    <row r="8">
      <c r="A8" t="inlineStr">
        <is>
          <t>m23E19IP050</t>
        </is>
      </c>
      <c r="B8" t="inlineStr">
        <is>
          <t>PANEL DE CONEXIÓN 24 PUERTOS CAT. 6</t>
        </is>
      </c>
      <c r="C8" t="inlineStr">
        <is>
          <t>Ud</t>
        </is>
      </c>
      <c r="D8" s="3" t="n">
        <v>1</v>
      </c>
      <c r="E8" s="4" t="n">
        <v>0</v>
      </c>
      <c r="F8" s="4">
        <f>D8*E8</f>
        <v/>
      </c>
    </row>
    <row r="9">
      <c r="A9" t="inlineStr">
        <is>
          <t>IEA010b</t>
        </is>
      </c>
      <c r="B9" t="inlineStr">
        <is>
          <t>Sistema de alimentación ininterrumpida (SAI).</t>
        </is>
      </c>
      <c r="C9" t="inlineStr">
        <is>
          <t>Ud</t>
        </is>
      </c>
      <c r="D9" s="3" t="n">
        <v>1</v>
      </c>
      <c r="E9" s="4" t="n">
        <v>0</v>
      </c>
      <c r="F9" s="4">
        <f>D9*E9</f>
        <v/>
      </c>
    </row>
    <row r="10">
      <c r="A10" t="inlineStr">
        <is>
          <t>IEO040b</t>
        </is>
      </c>
      <c r="B10" t="inlineStr">
        <is>
          <t>Bandeja para soporte y conducción de cables eléctricos.</t>
        </is>
      </c>
      <c r="C10" t="inlineStr">
        <is>
          <t>Ml</t>
        </is>
      </c>
      <c r="D10" s="3" t="n">
        <v>42</v>
      </c>
      <c r="E10" s="4" t="n">
        <v>0</v>
      </c>
      <c r="F10" s="4">
        <f>D10*E10</f>
        <v/>
      </c>
    </row>
    <row r="11">
      <c r="A11" t="inlineStr">
        <is>
          <t>07.01.03.01bb</t>
        </is>
      </c>
      <c r="B11" t="inlineStr">
        <is>
          <t>AP exterior</t>
        </is>
      </c>
      <c r="C11" t="inlineStr">
        <is>
          <t>Ud</t>
        </is>
      </c>
      <c r="D11" s="3" t="n">
        <v>2</v>
      </c>
      <c r="E11" s="4" t="n">
        <v>0</v>
      </c>
      <c r="F11" s="4">
        <f>D11*E11</f>
        <v/>
      </c>
    </row>
    <row r="12">
      <c r="A12" t="inlineStr">
        <is>
          <t>IAF070e</t>
        </is>
      </c>
      <c r="B12" t="inlineStr">
        <is>
          <t>Cable de pares de cobre.</t>
        </is>
      </c>
      <c r="C12" t="inlineStr">
        <is>
          <t>Ml</t>
        </is>
      </c>
      <c r="D12" s="3" t="n">
        <v>560</v>
      </c>
      <c r="E12" s="4" t="n">
        <v>0</v>
      </c>
      <c r="F12" s="4">
        <f>D12*E12</f>
        <v/>
      </c>
    </row>
    <row r="13">
      <c r="A13" t="inlineStr">
        <is>
          <t>IAF07UTP01</t>
        </is>
      </c>
      <c r="B13" t="inlineStr">
        <is>
          <t>Conector RJ45 Cat6</t>
        </is>
      </c>
      <c r="C13" t="inlineStr">
        <is>
          <t>Ud</t>
        </is>
      </c>
      <c r="D13" s="3" t="n">
        <v>16</v>
      </c>
      <c r="E13" s="4" t="n">
        <v>0</v>
      </c>
      <c r="F13" s="4">
        <f>D13*E13</f>
        <v/>
      </c>
    </row>
    <row r="14">
      <c r="A14" t="inlineStr">
        <is>
          <t>IEO010e</t>
        </is>
      </c>
      <c r="B14" t="inlineStr">
        <is>
          <t>Canalización empotrada en elemento de construcción de</t>
        </is>
      </c>
      <c r="C14" t="inlineStr">
        <is>
          <t>Ml</t>
        </is>
      </c>
      <c r="D14" s="3" t="n">
        <v>280</v>
      </c>
      <c r="E14" s="4" t="n">
        <v>0</v>
      </c>
      <c r="F14" s="4">
        <f>D14*E14</f>
        <v/>
      </c>
    </row>
    <row r="15">
      <c r="A15" t="inlineStr">
        <is>
          <t>IEO010p</t>
        </is>
      </c>
      <c r="B15" t="inlineStr">
        <is>
          <t>Canalización de tubo rígido de PVC de 25 mm</t>
        </is>
      </c>
      <c r="C15" t="inlineStr">
        <is>
          <t>Ml</t>
        </is>
      </c>
      <c r="D15" s="3" t="n">
        <v>120</v>
      </c>
      <c r="E15" s="4" t="n">
        <v>0</v>
      </c>
      <c r="F15" s="4">
        <f>D15*E15</f>
        <v/>
      </c>
    </row>
    <row r="16">
      <c r="A16" t="inlineStr">
        <is>
          <t>07.01.03.02bb</t>
        </is>
      </c>
      <c r="B16" t="inlineStr">
        <is>
          <t>Previsión ampliación controladora Wifi</t>
        </is>
      </c>
      <c r="C16" t="inlineStr">
        <is>
          <t>Ud</t>
        </is>
      </c>
      <c r="D16" s="3" t="n">
        <v>1</v>
      </c>
      <c r="E16" s="4" t="n">
        <v>0</v>
      </c>
      <c r="F16" s="4">
        <f>D16*E16</f>
        <v/>
      </c>
    </row>
    <row r="17">
      <c r="A17" t="inlineStr">
        <is>
          <t>IAF070c</t>
        </is>
      </c>
      <c r="B17" t="inlineStr">
        <is>
          <t>Cable de pares de cobre.</t>
        </is>
      </c>
      <c r="C17" t="inlineStr">
        <is>
          <t>Ml</t>
        </is>
      </c>
      <c r="D17" s="3" t="n">
        <v>1150</v>
      </c>
      <c r="E17" s="4" t="n">
        <v>0</v>
      </c>
      <c r="F17" s="4">
        <f>D17*E17</f>
        <v/>
      </c>
    </row>
    <row r="18">
      <c r="A18" t="inlineStr">
        <is>
          <t>IAF07UTP01</t>
        </is>
      </c>
      <c r="B18" t="inlineStr">
        <is>
          <t>Conector RJ45 Cat6</t>
        </is>
      </c>
      <c r="C18" t="inlineStr">
        <is>
          <t>Ud</t>
        </is>
      </c>
      <c r="D18" s="3" t="n">
        <v>48</v>
      </c>
      <c r="E18" s="4" t="n">
        <v>0</v>
      </c>
      <c r="F18" s="4">
        <f>D18*E18</f>
        <v/>
      </c>
    </row>
    <row r="19">
      <c r="A19" t="inlineStr">
        <is>
          <t>IEO010e</t>
        </is>
      </c>
      <c r="B19" t="inlineStr">
        <is>
          <t>Canalización empotrada en elemento de construcción de</t>
        </is>
      </c>
      <c r="C19" t="inlineStr">
        <is>
          <t>Ml</t>
        </is>
      </c>
      <c r="D19" s="3" t="n">
        <v>575</v>
      </c>
      <c r="E19" s="4" t="n">
        <v>0</v>
      </c>
      <c r="F19" s="4">
        <f>D19*E19</f>
        <v/>
      </c>
    </row>
    <row r="20">
      <c r="A20" t="inlineStr">
        <is>
          <t>m23E19M150</t>
        </is>
      </c>
      <c r="B20" t="inlineStr">
        <is>
          <t>DIFUSOR FALSO TECHO 6W</t>
        </is>
      </c>
      <c r="C20" t="inlineStr">
        <is>
          <t>Ud</t>
        </is>
      </c>
      <c r="D20" s="3" t="n">
        <v>8</v>
      </c>
      <c r="E20" s="4" t="n">
        <v>0</v>
      </c>
      <c r="F20" s="4">
        <f>D20*E20</f>
        <v/>
      </c>
    </row>
    <row r="21">
      <c r="A21" t="inlineStr">
        <is>
          <t>m23E19M121</t>
        </is>
      </c>
      <c r="B21" t="inlineStr">
        <is>
          <t>COLUMNA ACÚSTICA EXTERIOR 60 W</t>
        </is>
      </c>
      <c r="C21" t="inlineStr">
        <is>
          <t>Ud</t>
        </is>
      </c>
      <c r="D21" s="3" t="n">
        <v>2</v>
      </c>
      <c r="E21" s="4" t="n">
        <v>0</v>
      </c>
      <c r="F21" s="4">
        <f>D21*E21</f>
        <v/>
      </c>
    </row>
    <row r="22">
      <c r="A22" t="inlineStr">
        <is>
          <t>m23E19M060b</t>
        </is>
      </c>
      <c r="B22" t="inlineStr">
        <is>
          <t>DISTRIBUCIÓN SONIDO AMBIENTAL PARA RESTAURANTE Y</t>
        </is>
      </c>
      <c r="C22" t="inlineStr">
        <is>
          <t>Ud</t>
        </is>
      </c>
      <c r="D22" s="3" t="n">
        <v>1</v>
      </c>
      <c r="E22" s="4" t="n">
        <v>0</v>
      </c>
      <c r="F22" s="4">
        <f>D22*E22</f>
        <v/>
      </c>
    </row>
    <row r="23">
      <c r="A23" t="inlineStr">
        <is>
          <t>CAM</t>
        </is>
      </c>
      <c r="B23" t="inlineStr">
        <is>
          <t>Cámaras de vigilancia</t>
        </is>
      </c>
      <c r="C23" t="inlineStr">
        <is>
          <t>Ud</t>
        </is>
      </c>
      <c r="D23" s="3" t="n">
        <v>6</v>
      </c>
      <c r="E23" s="4" t="n">
        <v>0</v>
      </c>
      <c r="F23" s="4">
        <f>D23*E23</f>
        <v/>
      </c>
    </row>
    <row r="24">
      <c r="A24" t="inlineStr">
        <is>
          <t>CAMbb</t>
        </is>
      </c>
      <c r="B24" t="inlineStr">
        <is>
          <t>Programación y conexionado nueva instalación a red</t>
        </is>
      </c>
      <c r="C24" t="inlineStr">
        <is>
          <t>Ud</t>
        </is>
      </c>
      <c r="D24" s="3" t="n">
        <v>1</v>
      </c>
      <c r="E24" s="4" t="n">
        <v>0</v>
      </c>
      <c r="F24" s="4">
        <f>D24*E24</f>
        <v/>
      </c>
    </row>
    <row r="25">
      <c r="A25" t="inlineStr">
        <is>
          <t>IAF070d</t>
        </is>
      </c>
      <c r="B25" t="inlineStr">
        <is>
          <t>Cable de pares de cobre.</t>
        </is>
      </c>
      <c r="C25" t="inlineStr">
        <is>
          <t>Ml</t>
        </is>
      </c>
      <c r="D25" s="3" t="n">
        <v>770</v>
      </c>
      <c r="E25" s="4" t="n">
        <v>0</v>
      </c>
      <c r="F25" s="4">
        <f>D25*E25</f>
        <v/>
      </c>
    </row>
    <row r="26">
      <c r="A26" t="inlineStr">
        <is>
          <t>IAF07UTP01</t>
        </is>
      </c>
      <c r="B26" t="inlineStr">
        <is>
          <t>Conector RJ45 Cat6</t>
        </is>
      </c>
      <c r="C26" t="inlineStr">
        <is>
          <t>Ud</t>
        </is>
      </c>
      <c r="D26" s="3" t="n">
        <v>16</v>
      </c>
      <c r="E26" s="4" t="n">
        <v>0</v>
      </c>
      <c r="F26" s="4">
        <f>D26*E26</f>
        <v/>
      </c>
    </row>
    <row r="27">
      <c r="A27" t="inlineStr">
        <is>
          <t>IEO010e</t>
        </is>
      </c>
      <c r="B27" t="inlineStr">
        <is>
          <t>Canalización empotrada en elemento de construcción de</t>
        </is>
      </c>
      <c r="C27" t="inlineStr">
        <is>
          <t>Ml</t>
        </is>
      </c>
      <c r="D27" s="3" t="n">
        <v>385</v>
      </c>
      <c r="E27" s="4" t="n">
        <v>0</v>
      </c>
      <c r="F27" s="4">
        <f>D27*E27</f>
        <v/>
      </c>
    </row>
    <row r="28">
      <c r="A28" t="inlineStr">
        <is>
          <t>IOB022b</t>
        </is>
      </c>
      <c r="B28" t="inlineStr">
        <is>
          <t>Red de distribución de agua.</t>
        </is>
      </c>
      <c r="C28" t="inlineStr">
        <is>
          <t>Ml</t>
        </is>
      </c>
      <c r="D28" s="3" t="n">
        <v>24</v>
      </c>
      <c r="E28" s="4" t="n">
        <v>0</v>
      </c>
      <c r="F28" s="4">
        <f>D28*E28</f>
        <v/>
      </c>
    </row>
    <row r="29">
      <c r="A29" t="inlineStr">
        <is>
          <t>6.08</t>
        </is>
      </c>
      <c r="B29" t="inlineStr">
        <is>
          <t>Bancada metálica antivibración.</t>
        </is>
      </c>
      <c r="C29" t="inlineStr">
        <is>
          <t>Ud</t>
        </is>
      </c>
      <c r="D29" s="3" t="n">
        <v>1</v>
      </c>
      <c r="E29" s="4" t="n">
        <v>0</v>
      </c>
      <c r="F29" s="4">
        <f>D29*E29</f>
        <v/>
      </c>
    </row>
    <row r="30">
      <c r="A30" t="inlineStr">
        <is>
          <t>6.09</t>
        </is>
      </c>
      <c r="B30" t="inlineStr">
        <is>
          <t>Ayudas de albañileria</t>
        </is>
      </c>
      <c r="C30" t="inlineStr">
        <is>
          <t>Ud</t>
        </is>
      </c>
      <c r="D30" s="3" t="n">
        <v>1</v>
      </c>
      <c r="E30" s="4" t="n">
        <v>0</v>
      </c>
      <c r="F30" s="4">
        <f>D30*E30</f>
        <v/>
      </c>
    </row>
    <row r="31">
      <c r="A31" t="inlineStr">
        <is>
          <t>6.10</t>
        </is>
      </c>
      <c r="B31" t="inlineStr">
        <is>
          <t>Ayudas de albañileria</t>
        </is>
      </c>
      <c r="C31" t="inlineStr">
        <is>
          <t>Ud</t>
        </is>
      </c>
      <c r="D31" s="3" t="n">
        <v>1</v>
      </c>
      <c r="E31" s="4" t="n">
        <v>0</v>
      </c>
      <c r="F31" s="4">
        <f>D31*E31</f>
        <v/>
      </c>
    </row>
    <row r="32">
      <c r="A32" t="inlineStr">
        <is>
          <t>ICS030ebbbb</t>
        </is>
      </c>
      <c r="B32" t="inlineStr">
        <is>
          <t>Modificación de colectores de distribución de AGS, ACS,</t>
        </is>
      </c>
      <c r="C32" t="inlineStr">
        <is>
          <t>Ud</t>
        </is>
      </c>
      <c r="D32" s="3" t="n">
        <v>1</v>
      </c>
      <c r="E32" s="4" t="n">
        <v>0</v>
      </c>
      <c r="F32" s="4">
        <f>D32*E32</f>
        <v/>
      </c>
    </row>
    <row r="33">
      <c r="A33" t="inlineStr">
        <is>
          <t>IFI005</t>
        </is>
      </c>
      <c r="B33" t="inlineStr">
        <is>
          <t>Tubería para instalación interior, colocada</t>
        </is>
      </c>
      <c r="C33" t="inlineStr">
        <is>
          <t>Ml</t>
        </is>
      </c>
      <c r="D33" s="3" t="n">
        <v>178</v>
      </c>
      <c r="E33" s="4" t="n">
        <v>0</v>
      </c>
      <c r="F33" s="4">
        <f>D33*E33</f>
        <v/>
      </c>
    </row>
    <row r="34">
      <c r="A34" t="inlineStr">
        <is>
          <t>IFI005b</t>
        </is>
      </c>
      <c r="B34" t="inlineStr">
        <is>
          <t>Tubería para instalación interior, colocada</t>
        </is>
      </c>
      <c r="C34" t="inlineStr">
        <is>
          <t>Ml</t>
        </is>
      </c>
      <c r="D34" s="3" t="n">
        <v>124</v>
      </c>
      <c r="E34" s="4" t="n">
        <v>0</v>
      </c>
      <c r="F34" s="4">
        <f>D34*E34</f>
        <v/>
      </c>
    </row>
    <row r="35">
      <c r="A35" t="inlineStr">
        <is>
          <t>IFI005i</t>
        </is>
      </c>
      <c r="B35" t="inlineStr">
        <is>
          <t>Tubería para instalación interior, colocada</t>
        </is>
      </c>
      <c r="C35" t="inlineStr">
        <is>
          <t>Ml</t>
        </is>
      </c>
      <c r="D35" s="3" t="n">
        <v>62</v>
      </c>
      <c r="E35" s="4" t="n">
        <v>0</v>
      </c>
      <c r="F35" s="4">
        <f>D35*E35</f>
        <v/>
      </c>
    </row>
    <row r="36">
      <c r="A36" t="inlineStr">
        <is>
          <t>IFI005k</t>
        </is>
      </c>
      <c r="B36" t="inlineStr">
        <is>
          <t>Tubería para instalación interior, colocada</t>
        </is>
      </c>
      <c r="C36" t="inlineStr">
        <is>
          <t>Ml</t>
        </is>
      </c>
      <c r="D36" s="3" t="n">
        <v>34</v>
      </c>
      <c r="E36" s="4" t="n">
        <v>0</v>
      </c>
      <c r="F36" s="4">
        <f>D36*E36</f>
        <v/>
      </c>
    </row>
    <row r="37">
      <c r="A37" t="inlineStr">
        <is>
          <t>IFI005j</t>
        </is>
      </c>
      <c r="B37" t="inlineStr">
        <is>
          <t>Tubería para instalación interior, colocada</t>
        </is>
      </c>
      <c r="C37" t="inlineStr">
        <is>
          <t>Ml</t>
        </is>
      </c>
      <c r="D37" s="3" t="n">
        <v>34</v>
      </c>
      <c r="E37" s="4" t="n">
        <v>0</v>
      </c>
      <c r="F37" s="4">
        <f>D37*E37</f>
        <v/>
      </c>
    </row>
    <row r="38">
      <c r="A38" t="inlineStr">
        <is>
          <t>IFW010j</t>
        </is>
      </c>
      <c r="B38" t="inlineStr">
        <is>
          <t>Válvula de corte.</t>
        </is>
      </c>
      <c r="C38" t="inlineStr">
        <is>
          <t>Ud</t>
        </is>
      </c>
      <c r="D38" s="3" t="n">
        <v>2</v>
      </c>
      <c r="E38" s="4" t="n">
        <v>0</v>
      </c>
      <c r="F38" s="4">
        <f>D38*E38</f>
        <v/>
      </c>
    </row>
    <row r="39">
      <c r="A39" t="inlineStr">
        <is>
          <t>IFW010i</t>
        </is>
      </c>
      <c r="B39" t="inlineStr">
        <is>
          <t>Válvula de corte.</t>
        </is>
      </c>
      <c r="C39" t="inlineStr">
        <is>
          <t>Ud</t>
        </is>
      </c>
      <c r="D39" s="3" t="n">
        <v>3</v>
      </c>
      <c r="E39" s="4" t="n">
        <v>0</v>
      </c>
      <c r="F39" s="4">
        <f>D39*E39</f>
        <v/>
      </c>
    </row>
    <row r="40">
      <c r="A40" t="inlineStr">
        <is>
          <t>IFW010k</t>
        </is>
      </c>
      <c r="B40" t="inlineStr">
        <is>
          <t>Válvula de corte.</t>
        </is>
      </c>
      <c r="C40" t="inlineStr">
        <is>
          <t>Ud</t>
        </is>
      </c>
      <c r="D40" s="3" t="n">
        <v>3</v>
      </c>
      <c r="E40" s="4" t="n">
        <v>0</v>
      </c>
      <c r="F40" s="4">
        <f>D40*E40</f>
        <v/>
      </c>
    </row>
    <row r="41">
      <c r="A41" t="inlineStr">
        <is>
          <t>IFW010l</t>
        </is>
      </c>
      <c r="B41" t="inlineStr">
        <is>
          <t>Válvula de corte.</t>
        </is>
      </c>
      <c r="C41" t="inlineStr">
        <is>
          <t>Ud</t>
        </is>
      </c>
      <c r="D41" s="3" t="n">
        <v>7</v>
      </c>
      <c r="E41" s="4" t="n">
        <v>0</v>
      </c>
      <c r="F41" s="4">
        <f>D41*E41</f>
        <v/>
      </c>
    </row>
    <row r="42">
      <c r="A42" t="inlineStr">
        <is>
          <t>SGA010</t>
        </is>
      </c>
      <c r="B42" t="inlineStr">
        <is>
          <t>Válvula de escuadra.</t>
        </is>
      </c>
      <c r="C42" t="inlineStr">
        <is>
          <t>Ud</t>
        </is>
      </c>
      <c r="D42" s="3" t="n">
        <v>22</v>
      </c>
      <c r="E42" s="4" t="n">
        <v>0</v>
      </c>
      <c r="F42" s="4">
        <f>D42*E42</f>
        <v/>
      </c>
    </row>
    <row r="43">
      <c r="A43" t="inlineStr">
        <is>
          <t>SGA010b</t>
        </is>
      </c>
      <c r="B43" t="inlineStr">
        <is>
          <t>Válvula de escuadra.</t>
        </is>
      </c>
      <c r="C43" t="inlineStr">
        <is>
          <t>Ud</t>
        </is>
      </c>
      <c r="D43" s="3" t="n">
        <v>3</v>
      </c>
      <c r="E43" s="4" t="n">
        <v>0</v>
      </c>
      <c r="F43" s="4">
        <f>D43*E43</f>
        <v/>
      </c>
    </row>
    <row r="44">
      <c r="A44" t="inlineStr">
        <is>
          <t>SPL010bb</t>
        </is>
      </c>
      <c r="B44" t="inlineStr">
        <is>
          <t>Lavabo mural.</t>
        </is>
      </c>
      <c r="C44" t="inlineStr">
        <is>
          <t>Ud</t>
        </is>
      </c>
      <c r="D44" s="3" t="n">
        <v>1</v>
      </c>
      <c r="E44" s="4" t="n">
        <v>0</v>
      </c>
      <c r="F44" s="4">
        <f>D44*E44</f>
        <v/>
      </c>
    </row>
    <row r="45">
      <c r="A45" t="inlineStr">
        <is>
          <t>SGL010</t>
        </is>
      </c>
      <c r="B45" t="inlineStr">
        <is>
          <t>Grifería temporizada para lavabo.</t>
        </is>
      </c>
      <c r="C45" t="inlineStr">
        <is>
          <t>Ud</t>
        </is>
      </c>
      <c r="D45" s="3" t="n">
        <v>1</v>
      </c>
      <c r="E45" s="4" t="n">
        <v>0</v>
      </c>
      <c r="F45" s="4">
        <f>D45*E45</f>
        <v/>
      </c>
    </row>
    <row r="46">
      <c r="A46" t="inlineStr">
        <is>
          <t>SAI005</t>
        </is>
      </c>
      <c r="B46" t="inlineStr">
        <is>
          <t>Inodoro con tanque bajo, de porcelana sanitaria.</t>
        </is>
      </c>
      <c r="C46" t="inlineStr">
        <is>
          <t>Ud</t>
        </is>
      </c>
      <c r="D46" s="3" t="n">
        <v>1</v>
      </c>
      <c r="E46" s="4" t="n">
        <v>0</v>
      </c>
      <c r="F46" s="4">
        <f>D46*E46</f>
        <v/>
      </c>
    </row>
    <row r="47">
      <c r="A47" t="inlineStr">
        <is>
          <t>SAV010</t>
        </is>
      </c>
      <c r="B47" t="inlineStr">
        <is>
          <t>Vertedero de porcelana sanitaria "ROCA".</t>
        </is>
      </c>
      <c r="C47" t="inlineStr">
        <is>
          <t>Ud</t>
        </is>
      </c>
      <c r="D47" s="3" t="n">
        <v>1</v>
      </c>
      <c r="E47" s="4" t="n">
        <v>0</v>
      </c>
      <c r="F47" s="4">
        <f>D47*E47</f>
        <v/>
      </c>
    </row>
    <row r="48">
      <c r="A48" t="inlineStr">
        <is>
          <t>ASA010b</t>
        </is>
      </c>
      <c r="B48" t="inlineStr">
        <is>
          <t>Arqueta de obra de fábrica.</t>
        </is>
      </c>
      <c r="C48" t="inlineStr">
        <is>
          <t>Ud</t>
        </is>
      </c>
      <c r="D48" s="3" t="n">
        <v>1</v>
      </c>
      <c r="E48" s="4" t="n">
        <v>0</v>
      </c>
      <c r="F48" s="4">
        <f>D48*E48</f>
        <v/>
      </c>
    </row>
    <row r="49">
      <c r="A49" t="inlineStr">
        <is>
          <t>ASA010c</t>
        </is>
      </c>
      <c r="B49" t="inlineStr">
        <is>
          <t>Arqueta de obra de fábrica.</t>
        </is>
      </c>
      <c r="C49" t="inlineStr">
        <is>
          <t>Ud</t>
        </is>
      </c>
      <c r="D49" s="3" t="n">
        <v>1</v>
      </c>
      <c r="E49" s="4" t="n">
        <v>0</v>
      </c>
      <c r="F49" s="4">
        <f>D49*E49</f>
        <v/>
      </c>
    </row>
    <row r="50">
      <c r="A50" t="inlineStr">
        <is>
          <t>ASB010d</t>
        </is>
      </c>
      <c r="B50" t="inlineStr">
        <is>
          <t>Conexión a instalación existente</t>
        </is>
      </c>
      <c r="C50" t="inlineStr">
        <is>
          <t>Ml</t>
        </is>
      </c>
      <c r="D50" s="3" t="n">
        <v>3</v>
      </c>
      <c r="E50" s="4" t="n">
        <v>0</v>
      </c>
      <c r="F50" s="4">
        <f>D50*E50</f>
        <v/>
      </c>
    </row>
    <row r="51">
      <c r="A51" t="inlineStr">
        <is>
          <t>USA010c</t>
        </is>
      </c>
      <c r="B51" t="inlineStr">
        <is>
          <t>Separador de grasas 7 l/s</t>
        </is>
      </c>
      <c r="C51" t="inlineStr">
        <is>
          <t>Ud</t>
        </is>
      </c>
      <c r="D51" s="3" t="n">
        <v>1</v>
      </c>
      <c r="E51" s="4" t="n">
        <v>0</v>
      </c>
      <c r="F51" s="4">
        <f>D51*E51</f>
        <v/>
      </c>
    </row>
    <row r="52">
      <c r="A52" t="inlineStr">
        <is>
          <t>ISBsif01</t>
        </is>
      </c>
      <c r="B52" t="inlineStr">
        <is>
          <t>Sifón de polipropileno resistente al agua caliente para red</t>
        </is>
      </c>
      <c r="C52" t="inlineStr">
        <is>
          <t>Ud</t>
        </is>
      </c>
      <c r="D52" s="3" t="n">
        <v>2</v>
      </c>
      <c r="E52" s="4" t="n">
        <v>0</v>
      </c>
      <c r="F52" s="4">
        <f>D52*E52</f>
        <v/>
      </c>
    </row>
    <row r="53">
      <c r="A53" t="inlineStr">
        <is>
          <t>ISD005f</t>
        </is>
      </c>
      <c r="B53" t="inlineStr">
        <is>
          <t>Red de pequeña evacuación, empotrada.</t>
        </is>
      </c>
      <c r="C53" t="inlineStr">
        <is>
          <t>Ml</t>
        </is>
      </c>
      <c r="D53" s="3" t="n">
        <v>4.85</v>
      </c>
      <c r="E53" s="4" t="n">
        <v>0</v>
      </c>
      <c r="F53" s="4">
        <f>D53*E53</f>
        <v/>
      </c>
    </row>
    <row r="54">
      <c r="A54" t="inlineStr">
        <is>
          <t>ISD005g</t>
        </is>
      </c>
      <c r="B54" t="inlineStr">
        <is>
          <t>Red de pequeña evacuación, empotrada.</t>
        </is>
      </c>
      <c r="C54" t="inlineStr">
        <is>
          <t>Ml</t>
        </is>
      </c>
      <c r="D54" s="3" t="n">
        <v>6.15</v>
      </c>
      <c r="E54" s="4" t="n">
        <v>0</v>
      </c>
      <c r="F54" s="4">
        <f>D54*E54</f>
        <v/>
      </c>
    </row>
    <row r="55">
      <c r="A55" t="inlineStr">
        <is>
          <t>ISD005h</t>
        </is>
      </c>
      <c r="B55" t="inlineStr">
        <is>
          <t>Red de pequeña evacuación, empotrada.</t>
        </is>
      </c>
      <c r="C55" t="inlineStr">
        <is>
          <t>Ml</t>
        </is>
      </c>
      <c r="D55" s="3" t="n">
        <v>39</v>
      </c>
      <c r="E55" s="4" t="n">
        <v>0</v>
      </c>
      <c r="F55" s="4">
        <f>D55*E55</f>
        <v/>
      </c>
    </row>
    <row r="56">
      <c r="A56" t="inlineStr">
        <is>
          <t>ISD005i</t>
        </is>
      </c>
      <c r="B56" t="inlineStr">
        <is>
          <t>Red de pequeña evacuación, empotrada.</t>
        </is>
      </c>
      <c r="C56" t="inlineStr">
        <is>
          <t>Ml</t>
        </is>
      </c>
      <c r="D56" s="3" t="n">
        <v>6.45</v>
      </c>
      <c r="E56" s="4" t="n">
        <v>0</v>
      </c>
      <c r="F56" s="4">
        <f>D56*E56</f>
        <v/>
      </c>
    </row>
    <row r="57">
      <c r="A57" t="inlineStr">
        <is>
          <t>ICN018b</t>
        </is>
      </c>
      <c r="B57" t="inlineStr">
        <is>
          <t>Red de evacuación de condensados.</t>
        </is>
      </c>
      <c r="C57" t="inlineStr">
        <is>
          <t>Ml</t>
        </is>
      </c>
      <c r="D57" s="3" t="n">
        <v>37.83</v>
      </c>
      <c r="E57" s="4" t="n">
        <v>0</v>
      </c>
      <c r="F57" s="4">
        <f>D57*E57</f>
        <v/>
      </c>
    </row>
    <row r="58">
      <c r="A58" t="inlineStr">
        <is>
          <t>ASC010</t>
        </is>
      </c>
      <c r="B58" t="inlineStr">
        <is>
          <t>Colector enterrado D= 110 mm.</t>
        </is>
      </c>
      <c r="C58" t="inlineStr">
        <is>
          <t>Ml</t>
        </is>
      </c>
      <c r="D58" s="3" t="n">
        <v>63.9</v>
      </c>
      <c r="E58" s="4" t="n">
        <v>0</v>
      </c>
      <c r="F58" s="4">
        <f>D58*E58</f>
        <v/>
      </c>
    </row>
    <row r="59">
      <c r="A59" t="inlineStr">
        <is>
          <t>ASC010f</t>
        </is>
      </c>
      <c r="B59" t="inlineStr">
        <is>
          <t>Colector enterrado D= 125 mm.</t>
        </is>
      </c>
      <c r="C59" t="inlineStr">
        <is>
          <t>Ml</t>
        </is>
      </c>
      <c r="D59" s="3" t="n">
        <v>4.8</v>
      </c>
      <c r="E59" s="4" t="n">
        <v>0</v>
      </c>
      <c r="F59" s="4">
        <f>D59*E59</f>
        <v/>
      </c>
    </row>
    <row r="60">
      <c r="A60" t="inlineStr">
        <is>
          <t>ASC010c</t>
        </is>
      </c>
      <c r="B60" t="inlineStr">
        <is>
          <t>Colector enterrado D= 160 mm.</t>
        </is>
      </c>
      <c r="C60" t="inlineStr">
        <is>
          <t>Ml</t>
        </is>
      </c>
      <c r="D60" s="3" t="n">
        <v>8.9</v>
      </c>
      <c r="E60" s="4" t="n">
        <v>0</v>
      </c>
      <c r="F60" s="4">
        <f>D60*E60</f>
        <v/>
      </c>
    </row>
    <row r="61">
      <c r="A61" t="inlineStr">
        <is>
          <t>ASI020</t>
        </is>
      </c>
      <c r="B61" t="inlineStr">
        <is>
          <t>Sumidero sifónico.</t>
        </is>
      </c>
      <c r="C61" t="inlineStr">
        <is>
          <t>Ud</t>
        </is>
      </c>
      <c r="D61" s="3" t="n">
        <v>1</v>
      </c>
      <c r="E61" s="4" t="n">
        <v>0</v>
      </c>
      <c r="F61" s="4">
        <f>D61*E61</f>
        <v/>
      </c>
    </row>
    <row r="62">
      <c r="A62" t="inlineStr">
        <is>
          <t>ASI050c</t>
        </is>
      </c>
      <c r="B62" t="inlineStr">
        <is>
          <t>Canaleta de drenaje.</t>
        </is>
      </c>
      <c r="C62" t="inlineStr">
        <is>
          <t>Ml</t>
        </is>
      </c>
      <c r="D62" s="3" t="n">
        <v>13.5</v>
      </c>
      <c r="E62" s="4" t="n">
        <v>0</v>
      </c>
      <c r="F62" s="4">
        <f>D62*E62</f>
        <v/>
      </c>
    </row>
    <row r="63">
      <c r="A63" t="inlineStr">
        <is>
          <t>ICR010cbb</t>
        </is>
      </c>
      <c r="B63" t="inlineStr">
        <is>
          <t>Ventilador centrífugo en línea. Neosilent 150 de Sodeca.</t>
        </is>
      </c>
      <c r="C63" t="inlineStr">
        <is>
          <t>Ud</t>
        </is>
      </c>
      <c r="D63" s="3" t="n">
        <v>1</v>
      </c>
      <c r="E63" s="4" t="n">
        <v>0</v>
      </c>
      <c r="F63" s="4">
        <f>D63*E63</f>
        <v/>
      </c>
    </row>
    <row r="64">
      <c r="A64" t="inlineStr">
        <is>
          <t>IVG016bb</t>
        </is>
      </c>
      <c r="B64" t="inlineStr">
        <is>
          <t>Ventilador para extracción de humos</t>
        </is>
      </c>
      <c r="C64" t="inlineStr">
        <is>
          <t>Ud</t>
        </is>
      </c>
      <c r="D64" s="3" t="n">
        <v>1</v>
      </c>
      <c r="E64" s="4" t="n">
        <v>0</v>
      </c>
      <c r="F64" s="4">
        <f>D64*E64</f>
        <v/>
      </c>
    </row>
    <row r="65">
      <c r="A65" t="inlineStr">
        <is>
          <t>ICR010bbbbc</t>
        </is>
      </c>
      <c r="B65" t="inlineStr">
        <is>
          <t>Ventilador centrífugo para extracción CJBD/F-2828-6M 1/3</t>
        </is>
      </c>
      <c r="C65" t="inlineStr">
        <is>
          <t>Ud</t>
        </is>
      </c>
      <c r="D65" s="3" t="n">
        <v>1</v>
      </c>
      <c r="E65" s="4" t="n">
        <v>0</v>
      </c>
      <c r="F65" s="4">
        <f>D65*E65</f>
        <v/>
      </c>
    </row>
    <row r="66">
      <c r="A66" t="inlineStr">
        <is>
          <t>IVG010b</t>
        </is>
      </c>
      <c r="B66" t="inlineStr">
        <is>
          <t>Ventilador de impulsión de aire exterior. CJDXR/AL560-3</t>
        </is>
      </c>
      <c r="C66" t="inlineStr">
        <is>
          <t>Ud</t>
        </is>
      </c>
      <c r="D66" s="3" t="n">
        <v>1</v>
      </c>
      <c r="E66" s="4" t="n">
        <v>0</v>
      </c>
      <c r="F66" s="4">
        <f>D66*E66</f>
        <v/>
      </c>
    </row>
    <row r="67">
      <c r="A67" t="inlineStr">
        <is>
          <t>ICR015q</t>
        </is>
      </c>
      <c r="B67" t="inlineStr">
        <is>
          <t>Conducto circular de pared simple helicoidal de acero</t>
        </is>
      </c>
      <c r="C67" t="inlineStr">
        <is>
          <t>Ml</t>
        </is>
      </c>
      <c r="D67" s="3" t="n">
        <v>5.2</v>
      </c>
      <c r="E67" s="4" t="n">
        <v>0</v>
      </c>
      <c r="F67" s="4">
        <f>D67*E67</f>
        <v/>
      </c>
    </row>
    <row r="68">
      <c r="A68" t="inlineStr">
        <is>
          <t>ICR015m</t>
        </is>
      </c>
      <c r="B68" t="inlineStr">
        <is>
          <t>Conducto circular de pared simple helicoidal de acero</t>
        </is>
      </c>
      <c r="C68" t="inlineStr">
        <is>
          <t>Ml</t>
        </is>
      </c>
      <c r="D68" s="3" t="n">
        <v>3.6</v>
      </c>
      <c r="E68" s="4" t="n">
        <v>0</v>
      </c>
      <c r="F68" s="4">
        <f>D68*E68</f>
        <v/>
      </c>
    </row>
    <row r="69">
      <c r="A69" t="inlineStr">
        <is>
          <t>ICR015l</t>
        </is>
      </c>
      <c r="B69" t="inlineStr">
        <is>
          <t>Conducto circular de pared simple helicoidal de acero</t>
        </is>
      </c>
      <c r="C69" t="inlineStr">
        <is>
          <t>Ml</t>
        </is>
      </c>
      <c r="D69" s="3" t="n">
        <v>38.6</v>
      </c>
      <c r="E69" s="4" t="n">
        <v>0</v>
      </c>
      <c r="F69" s="4">
        <f>D69*E69</f>
        <v/>
      </c>
    </row>
    <row r="70">
      <c r="A70" t="inlineStr">
        <is>
          <t>ICR016bw</t>
        </is>
      </c>
      <c r="B70" t="inlineStr">
        <is>
          <t>Codo 90° para conducto circular de acero galvanizado, de</t>
        </is>
      </c>
      <c r="C70" t="inlineStr">
        <is>
          <t>Ud</t>
        </is>
      </c>
      <c r="D70" s="3" t="n">
        <v>5</v>
      </c>
      <c r="E70" s="4" t="n">
        <v>0</v>
      </c>
      <c r="F70" s="4">
        <f>D70*E70</f>
        <v/>
      </c>
    </row>
    <row r="71">
      <c r="A71" t="inlineStr">
        <is>
          <t>ICR016bx</t>
        </is>
      </c>
      <c r="B71" t="inlineStr">
        <is>
          <t>Pieza para conducto circular.</t>
        </is>
      </c>
      <c r="C71" t="inlineStr">
        <is>
          <t>Ud</t>
        </is>
      </c>
      <c r="D71" s="3" t="n">
        <v>6</v>
      </c>
      <c r="E71" s="4" t="n">
        <v>0</v>
      </c>
      <c r="F71" s="4">
        <f>D71*E71</f>
        <v/>
      </c>
    </row>
    <row r="72">
      <c r="A72" t="inlineStr">
        <is>
          <t>ICR016bs</t>
        </is>
      </c>
      <c r="B72" t="inlineStr">
        <is>
          <t>Te simple 90° para conducto circular de acero galvanizado,</t>
        </is>
      </c>
      <c r="C72" t="inlineStr">
        <is>
          <t>Ud</t>
        </is>
      </c>
      <c r="D72" s="3" t="n">
        <v>1</v>
      </c>
      <c r="E72" s="4" t="n">
        <v>0</v>
      </c>
      <c r="F72" s="4">
        <f>D72*E72</f>
        <v/>
      </c>
    </row>
    <row r="73">
      <c r="A73" t="inlineStr">
        <is>
          <t>ICR016by</t>
        </is>
      </c>
      <c r="B73" t="inlineStr">
        <is>
          <t>Pieza para conducto circular.</t>
        </is>
      </c>
      <c r="C73" t="inlineStr">
        <is>
          <t>Ud</t>
        </is>
      </c>
      <c r="D73" s="3" t="n">
        <v>1</v>
      </c>
      <c r="E73" s="4" t="n">
        <v>0</v>
      </c>
      <c r="F73" s="4">
        <f>D73*E73</f>
        <v/>
      </c>
    </row>
    <row r="74">
      <c r="A74" t="inlineStr">
        <is>
          <t>ICR016bz</t>
        </is>
      </c>
      <c r="B74" t="inlineStr">
        <is>
          <t>Pieza para conducto circular.</t>
        </is>
      </c>
      <c r="C74" t="inlineStr">
        <is>
          <t>Ud</t>
        </is>
      </c>
      <c r="D74" s="3" t="n">
        <v>2</v>
      </c>
      <c r="E74" s="4" t="n">
        <v>0</v>
      </c>
      <c r="F74" s="4">
        <f>D74*E74</f>
        <v/>
      </c>
    </row>
    <row r="75">
      <c r="A75" t="inlineStr">
        <is>
          <t>ICR016ca</t>
        </is>
      </c>
      <c r="B75" t="inlineStr">
        <is>
          <t>Pieza para conducto circular.</t>
        </is>
      </c>
      <c r="C75" t="inlineStr">
        <is>
          <t>Ud</t>
        </is>
      </c>
      <c r="D75" s="3" t="n">
        <v>1</v>
      </c>
      <c r="E75" s="4" t="n">
        <v>0</v>
      </c>
      <c r="F75" s="4">
        <f>D75*E75</f>
        <v/>
      </c>
    </row>
    <row r="76">
      <c r="A76" t="inlineStr">
        <is>
          <t>ICR025c</t>
        </is>
      </c>
      <c r="B76" t="inlineStr">
        <is>
          <t>Tubo flexible de 102 mm de diámetro, Flexiver D "ISOVER",</t>
        </is>
      </c>
      <c r="C76" t="inlineStr">
        <is>
          <t>Ml</t>
        </is>
      </c>
      <c r="D76" s="3" t="n">
        <v>4</v>
      </c>
      <c r="E76" s="4" t="n">
        <v>0</v>
      </c>
      <c r="F76" s="4">
        <f>D76*E76</f>
        <v/>
      </c>
    </row>
    <row r="77">
      <c r="A77" t="inlineStr">
        <is>
          <t>ICR020c</t>
        </is>
      </c>
      <c r="B77" t="inlineStr">
        <is>
          <t>Red de conductos de distribución de aire para</t>
        </is>
      </c>
      <c r="C77" t="inlineStr">
        <is>
          <t>M2</t>
        </is>
      </c>
      <c r="D77" s="3" t="n">
        <v>122</v>
      </c>
      <c r="E77" s="4" t="n">
        <v>0</v>
      </c>
      <c r="F77" s="4">
        <f>D77*E77</f>
        <v/>
      </c>
    </row>
    <row r="78">
      <c r="A78" t="inlineStr">
        <is>
          <t>ICR020f</t>
        </is>
      </c>
      <c r="B78" t="inlineStr">
        <is>
          <t>Conducto de chapa galvanizada.</t>
        </is>
      </c>
      <c r="C78" t="inlineStr">
        <is>
          <t>M2</t>
        </is>
      </c>
      <c r="D78" s="3" t="n">
        <v>145.22</v>
      </c>
      <c r="E78" s="4" t="n">
        <v>0</v>
      </c>
      <c r="F78" s="4">
        <f>D78*E78</f>
        <v/>
      </c>
    </row>
    <row r="79">
      <c r="A79" t="inlineStr">
        <is>
          <t>IOJ200</t>
        </is>
      </c>
      <c r="B79" t="inlineStr">
        <is>
          <t>Protección pasiva contra incendios de conductos metálicos</t>
        </is>
      </c>
      <c r="C79" t="inlineStr">
        <is>
          <t>M2</t>
        </is>
      </c>
      <c r="D79" s="3" t="n">
        <v>64.58</v>
      </c>
      <c r="E79" s="4" t="n">
        <v>0</v>
      </c>
      <c r="F79" s="4">
        <f>D79*E79</f>
        <v/>
      </c>
    </row>
    <row r="80">
      <c r="A80" t="inlineStr">
        <is>
          <t>ICR060b</t>
        </is>
      </c>
      <c r="B80" t="inlineStr">
        <is>
          <t>Boca de ventilación.</t>
        </is>
      </c>
      <c r="C80" t="inlineStr">
        <is>
          <t>Ud</t>
        </is>
      </c>
      <c r="D80" s="3" t="n">
        <v>2</v>
      </c>
      <c r="E80" s="4" t="n">
        <v>0</v>
      </c>
      <c r="F80" s="4">
        <f>D80*E80</f>
        <v/>
      </c>
    </row>
    <row r="81">
      <c r="A81" t="inlineStr">
        <is>
          <t>ICR040b</t>
        </is>
      </c>
      <c r="B81" t="inlineStr">
        <is>
          <t>Difusor.</t>
        </is>
      </c>
      <c r="C81" t="inlineStr">
        <is>
          <t>Ud</t>
        </is>
      </c>
      <c r="D81" s="3" t="n">
        <v>2</v>
      </c>
      <c r="E81" s="4" t="n">
        <v>0</v>
      </c>
      <c r="F81" s="4">
        <f>D81*E81</f>
        <v/>
      </c>
    </row>
    <row r="82">
      <c r="A82" t="inlineStr">
        <is>
          <t>ICR060</t>
        </is>
      </c>
      <c r="B82" t="inlineStr">
        <is>
          <t>Boca de ventilación en ejecución redonda adecuada para</t>
        </is>
      </c>
      <c r="C82" t="inlineStr">
        <is>
          <t>Ud</t>
        </is>
      </c>
      <c r="D82" s="3" t="n">
        <v>2</v>
      </c>
      <c r="E82" s="4" t="n">
        <v>0</v>
      </c>
      <c r="F82" s="4">
        <f>D82*E82</f>
        <v/>
      </c>
    </row>
    <row r="83">
      <c r="A83" t="inlineStr">
        <is>
          <t>IEO010b</t>
        </is>
      </c>
      <c r="B83" t="inlineStr">
        <is>
          <t>Canalización empotrada en elemento de construcción de</t>
        </is>
      </c>
      <c r="C83" t="inlineStr">
        <is>
          <t>Ml</t>
        </is>
      </c>
      <c r="D83" s="3" t="n">
        <v>2170</v>
      </c>
      <c r="E83" s="4" t="n">
        <v>0</v>
      </c>
      <c r="F83" s="4">
        <f>D83*E83</f>
        <v/>
      </c>
    </row>
    <row r="84">
      <c r="A84" t="inlineStr">
        <is>
          <t>IEO010c</t>
        </is>
      </c>
      <c r="B84" t="inlineStr">
        <is>
          <t>Canalización empotrada en elemento de construcción de</t>
        </is>
      </c>
      <c r="C84" t="inlineStr">
        <is>
          <t>Ml</t>
        </is>
      </c>
      <c r="D84" s="3" t="n">
        <v>1714</v>
      </c>
      <c r="E84" s="4" t="n">
        <v>0</v>
      </c>
      <c r="F84" s="4">
        <f>D84*E84</f>
        <v/>
      </c>
    </row>
    <row r="85">
      <c r="A85" t="inlineStr">
        <is>
          <t>IEP010bba</t>
        </is>
      </c>
      <c r="B85" t="inlineStr">
        <is>
          <t>Red de toma de tierra para estructura.</t>
        </is>
      </c>
      <c r="C85" t="inlineStr">
        <is>
          <t>Ud</t>
        </is>
      </c>
      <c r="D85" s="3" t="n">
        <v>1</v>
      </c>
      <c r="E85" s="4" t="n">
        <v>0</v>
      </c>
      <c r="F85" s="4">
        <f>D85*E85</f>
        <v/>
      </c>
    </row>
    <row r="86">
      <c r="A86" t="inlineStr">
        <is>
          <t>IEP030b</t>
        </is>
      </c>
      <c r="B86" t="inlineStr">
        <is>
          <t>Red de equipotencialidad en cuarto húmedo.</t>
        </is>
      </c>
      <c r="C86" t="inlineStr">
        <is>
          <t>Ud</t>
        </is>
      </c>
      <c r="D86" s="3" t="n">
        <v>2</v>
      </c>
      <c r="E86" s="4" t="n">
        <v>0</v>
      </c>
      <c r="F86" s="4">
        <f>D86*E86</f>
        <v/>
      </c>
    </row>
    <row r="87">
      <c r="A87" t="inlineStr">
        <is>
          <t>IOA020gb</t>
        </is>
      </c>
      <c r="B87" t="inlineStr">
        <is>
          <t>Luminaria de emergencia DAISALUX modelo IZAR N30.</t>
        </is>
      </c>
      <c r="C87" t="inlineStr">
        <is>
          <t>Ud</t>
        </is>
      </c>
      <c r="D87" s="3" t="n">
        <v>16</v>
      </c>
      <c r="E87" s="4" t="n">
        <v>0</v>
      </c>
      <c r="F87" s="4">
        <f>D87*E87</f>
        <v/>
      </c>
    </row>
    <row r="88">
      <c r="A88" t="inlineStr">
        <is>
          <t>IOA020gbbd</t>
        </is>
      </c>
      <c r="B88" t="inlineStr">
        <is>
          <t>Luminaria de emergencia DAISALUX modelo IKUS</t>
        </is>
      </c>
      <c r="C88" t="inlineStr">
        <is>
          <t>Ud</t>
        </is>
      </c>
      <c r="D88" s="3" t="n">
        <v>8</v>
      </c>
      <c r="E88" s="4" t="n">
        <v>0</v>
      </c>
      <c r="F88" s="4">
        <f>D88*E88</f>
        <v/>
      </c>
    </row>
    <row r="89">
      <c r="A89" t="inlineStr">
        <is>
          <t>m22E18G150</t>
        </is>
      </c>
      <c r="B89" t="inlineStr">
        <is>
          <t>BLOQUE AUTÓNOMO EMERGENCIA ESTANCO IP-65 LED</t>
        </is>
      </c>
      <c r="C89" t="inlineStr">
        <is>
          <t>Ud</t>
        </is>
      </c>
      <c r="D89" s="3" t="n">
        <v>28</v>
      </c>
      <c r="E89" s="4" t="n">
        <v>0</v>
      </c>
      <c r="F89" s="4">
        <f>D89*E89</f>
        <v/>
      </c>
    </row>
    <row r="90">
      <c r="A90" t="inlineStr">
        <is>
          <t>ICR110</t>
        </is>
      </c>
      <c r="B90" t="inlineStr">
        <is>
          <t>Recuperador de calor aire-aire. Instalación en techo.</t>
        </is>
      </c>
      <c r="C90" t="inlineStr">
        <is>
          <t>Ud</t>
        </is>
      </c>
      <c r="D90" s="3" t="n">
        <v>1</v>
      </c>
      <c r="E90" s="4" t="n">
        <v>0</v>
      </c>
      <c r="F90" s="4">
        <f>D90*E90</f>
        <v/>
      </c>
    </row>
    <row r="91">
      <c r="A91" t="inlineStr">
        <is>
          <t>IBL600</t>
        </is>
      </c>
      <c r="B91" t="inlineStr">
        <is>
          <t>Unidad exterior de aire acondicionado.</t>
        </is>
      </c>
      <c r="C91" t="inlineStr">
        <is>
          <t>Ud</t>
        </is>
      </c>
      <c r="D91" s="3" t="n">
        <v>1</v>
      </c>
      <c r="E91" s="4" t="n">
        <v>0</v>
      </c>
      <c r="F91" s="4">
        <f>D91*E91</f>
        <v/>
      </c>
    </row>
    <row r="92">
      <c r="A92" t="inlineStr">
        <is>
          <t>IBL620</t>
        </is>
      </c>
      <c r="B92" t="inlineStr">
        <is>
          <t>Unidad interior de aire acondicionado con distribución por</t>
        </is>
      </c>
      <c r="C92" t="inlineStr">
        <is>
          <t>Ud</t>
        </is>
      </c>
      <c r="D92" s="3" t="n">
        <v>2</v>
      </c>
      <c r="E92" s="4" t="n">
        <v>0</v>
      </c>
      <c r="F92" s="4">
        <f>D92*E92</f>
        <v/>
      </c>
    </row>
    <row r="93">
      <c r="A93" t="inlineStr">
        <is>
          <t>IBL680</t>
        </is>
      </c>
      <c r="B93" t="inlineStr">
        <is>
          <t>Derivación para línea frigorífica.</t>
        </is>
      </c>
      <c r="C93" t="inlineStr">
        <is>
          <t>Ud</t>
        </is>
      </c>
      <c r="D93" s="3" t="n">
        <v>1</v>
      </c>
      <c r="E93" s="4" t="n">
        <v>0</v>
      </c>
      <c r="F93" s="4">
        <f>D93*E93</f>
        <v/>
      </c>
    </row>
    <row r="94">
      <c r="A94" t="inlineStr">
        <is>
          <t>IBL690</t>
        </is>
      </c>
      <c r="B94" t="inlineStr">
        <is>
          <t>Control centralizado.</t>
        </is>
      </c>
      <c r="C94" t="inlineStr">
        <is>
          <t>Ud</t>
        </is>
      </c>
      <c r="D94" s="3" t="n">
        <v>1</v>
      </c>
      <c r="E94" s="4" t="n">
        <v>0</v>
      </c>
      <c r="F94" s="4">
        <f>D94*E94</f>
        <v/>
      </c>
    </row>
    <row r="95">
      <c r="A95" t="inlineStr">
        <is>
          <t>IBL695</t>
        </is>
      </c>
      <c r="B95" t="inlineStr">
        <is>
          <t>Cable bus de comunicaciones.</t>
        </is>
      </c>
      <c r="C95" t="inlineStr">
        <is>
          <t>Ml</t>
        </is>
      </c>
      <c r="D95" s="3" t="n">
        <v>68.67</v>
      </c>
      <c r="E95" s="4" t="n">
        <v>0</v>
      </c>
      <c r="F95" s="4">
        <f>D95*E95</f>
        <v/>
      </c>
    </row>
    <row r="96">
      <c r="A96" t="inlineStr">
        <is>
          <t>ICN010</t>
        </is>
      </c>
      <c r="B96" t="inlineStr">
        <is>
          <t>Línea frigorífica.</t>
        </is>
      </c>
      <c r="C96" t="inlineStr">
        <is>
          <t>Ml</t>
        </is>
      </c>
      <c r="D96" s="3" t="n">
        <v>31.34</v>
      </c>
      <c r="E96" s="4" t="n">
        <v>0</v>
      </c>
      <c r="F96" s="4">
        <f>D96*E96</f>
        <v/>
      </c>
    </row>
    <row r="97">
      <c r="A97" t="inlineStr">
        <is>
          <t>ICN010b</t>
        </is>
      </c>
      <c r="B97" t="inlineStr">
        <is>
          <t>Línea frigorífica.</t>
        </is>
      </c>
      <c r="C97" t="inlineStr">
        <is>
          <t>Ml</t>
        </is>
      </c>
      <c r="D97" s="3" t="n">
        <v>3.05</v>
      </c>
      <c r="E97" s="4" t="n">
        <v>0</v>
      </c>
      <c r="F97" s="4">
        <f>D97*E97</f>
        <v/>
      </c>
    </row>
    <row r="98">
      <c r="A98" t="inlineStr">
        <is>
          <t>ICN010c</t>
        </is>
      </c>
      <c r="B98" t="inlineStr">
        <is>
          <t>Línea frigorífica.</t>
        </is>
      </c>
      <c r="C98" t="inlineStr">
        <is>
          <t>Ml</t>
        </is>
      </c>
      <c r="D98" s="3" t="n">
        <v>2.28</v>
      </c>
      <c r="E98" s="4" t="n">
        <v>0</v>
      </c>
      <c r="F98" s="4">
        <f>D98*E98</f>
        <v/>
      </c>
    </row>
    <row r="99">
      <c r="A99" t="inlineStr">
        <is>
          <t>ICN010d</t>
        </is>
      </c>
      <c r="B99" t="inlineStr">
        <is>
          <t>Línea frigorífica.</t>
        </is>
      </c>
      <c r="C99" t="inlineStr">
        <is>
          <t>Ml</t>
        </is>
      </c>
      <c r="D99" s="3" t="n">
        <v>15</v>
      </c>
      <c r="E99" s="4" t="n">
        <v>0</v>
      </c>
      <c r="F99" s="4">
        <f>D99*E99</f>
        <v/>
      </c>
    </row>
    <row r="100">
      <c r="A100" t="inlineStr">
        <is>
          <t>ICN012VAL</t>
        </is>
      </c>
      <c r="B100" t="inlineStr">
        <is>
          <t>Kit válvula corte CMR-M100KT-E</t>
        </is>
      </c>
      <c r="C100" t="inlineStr">
        <is>
          <t>Ud</t>
        </is>
      </c>
      <c r="D100" s="3" t="n">
        <v>2</v>
      </c>
      <c r="E100" s="4" t="n">
        <v>0</v>
      </c>
      <c r="F100" s="4">
        <f>D100*E100</f>
        <v/>
      </c>
    </row>
    <row r="101">
      <c r="A101" t="inlineStr">
        <is>
          <t>ICN012</t>
        </is>
      </c>
      <c r="B101" t="inlineStr">
        <is>
          <t>Carga de gas refrigerante.</t>
        </is>
      </c>
      <c r="C101" t="inlineStr">
        <is>
          <t>Kg</t>
        </is>
      </c>
      <c r="D101" s="3" t="n">
        <v>5.99</v>
      </c>
      <c r="E101" s="4" t="n">
        <v>0</v>
      </c>
      <c r="F101" s="4">
        <f>D101*E101</f>
        <v/>
      </c>
    </row>
    <row r="102">
      <c r="A102" t="inlineStr">
        <is>
          <t>ICR021</t>
        </is>
      </c>
      <c r="B102" t="inlineStr">
        <is>
          <t>Conducto de lana mineral.</t>
        </is>
      </c>
      <c r="C102" t="inlineStr">
        <is>
          <t>M2</t>
        </is>
      </c>
      <c r="D102" s="3" t="n">
        <v>178.53</v>
      </c>
      <c r="E102" s="4" t="n">
        <v>0</v>
      </c>
      <c r="F102" s="4">
        <f>D102*E102</f>
        <v/>
      </c>
    </row>
    <row r="103">
      <c r="A103" t="inlineStr">
        <is>
          <t>ICR030</t>
        </is>
      </c>
      <c r="B103" t="inlineStr">
        <is>
          <t>Rejilla de impulsión, de chapa perfilada de acero, pintado</t>
        </is>
      </c>
      <c r="C103" t="inlineStr">
        <is>
          <t>Ud</t>
        </is>
      </c>
      <c r="D103" s="3" t="n">
        <v>6</v>
      </c>
      <c r="E103" s="4" t="n">
        <v>0</v>
      </c>
      <c r="F103" s="4">
        <f>D103*E103</f>
        <v/>
      </c>
    </row>
    <row r="104">
      <c r="A104" t="inlineStr">
        <is>
          <t>ICR040</t>
        </is>
      </c>
      <c r="B104" t="inlineStr">
        <is>
          <t>Difusor.</t>
        </is>
      </c>
      <c r="C104" t="inlineStr">
        <is>
          <t>Ud</t>
        </is>
      </c>
      <c r="D104" s="3" t="n">
        <v>15</v>
      </c>
      <c r="E104" s="4" t="n">
        <v>0</v>
      </c>
      <c r="F104" s="4">
        <f>D104*E104</f>
        <v/>
      </c>
    </row>
    <row r="105">
      <c r="A105" t="inlineStr">
        <is>
          <t>ICR050</t>
        </is>
      </c>
      <c r="B105" t="inlineStr">
        <is>
          <t>Rejilla de retorno.</t>
        </is>
      </c>
      <c r="C105" t="inlineStr">
        <is>
          <t>Ud</t>
        </is>
      </c>
      <c r="D105" s="3" t="n">
        <v>4</v>
      </c>
      <c r="E105" s="4" t="n">
        <v>0</v>
      </c>
      <c r="F105" s="4">
        <f>D105*E105</f>
        <v/>
      </c>
    </row>
    <row r="106">
      <c r="A106" t="inlineStr">
        <is>
          <t>ICR050b</t>
        </is>
      </c>
      <c r="B106" t="inlineStr">
        <is>
          <t>Rejilla de retorno.</t>
        </is>
      </c>
      <c r="C106" t="inlineStr">
        <is>
          <t>Ud</t>
        </is>
      </c>
      <c r="D106" s="3" t="n">
        <v>4</v>
      </c>
      <c r="E106" s="4" t="n">
        <v>0</v>
      </c>
      <c r="F106" s="4">
        <f>D106*E106</f>
        <v/>
      </c>
    </row>
    <row r="107">
      <c r="A107" t="inlineStr">
        <is>
          <t>ICR070</t>
        </is>
      </c>
      <c r="B107" t="inlineStr">
        <is>
          <t>Rejilla de intemperie.</t>
        </is>
      </c>
      <c r="C107" t="inlineStr">
        <is>
          <t>Ud</t>
        </is>
      </c>
      <c r="D107" s="3" t="n">
        <v>1</v>
      </c>
      <c r="E107" s="4" t="n">
        <v>0</v>
      </c>
      <c r="F107" s="4">
        <f>D107*E107</f>
        <v/>
      </c>
    </row>
    <row r="108">
      <c r="A108" t="inlineStr">
        <is>
          <t>ICR070b</t>
        </is>
      </c>
      <c r="B108" t="inlineStr">
        <is>
          <t>Rejilla de intemperie.</t>
        </is>
      </c>
      <c r="C108" t="inlineStr">
        <is>
          <t>Ud</t>
        </is>
      </c>
      <c r="D108" s="3" t="n">
        <v>1</v>
      </c>
      <c r="E108" s="4" t="n">
        <v>0</v>
      </c>
      <c r="F108" s="4">
        <f>D108*E108</f>
        <v/>
      </c>
    </row>
    <row r="109">
      <c r="A109" t="inlineStr">
        <is>
          <t>PICS2796</t>
        </is>
      </c>
      <c r="B109" t="inlineStr">
        <is>
          <t>Armario rack de 19" de 42U 2200x600x800 mm</t>
        </is>
      </c>
      <c r="C109" t="inlineStr">
        <is>
          <t>Ud</t>
        </is>
      </c>
      <c r="D109" s="3" t="n">
        <v>1</v>
      </c>
      <c r="E109" s="4" t="n">
        <v>0</v>
      </c>
      <c r="F109" s="4">
        <f>D109*E109</f>
        <v/>
      </c>
    </row>
    <row r="110">
      <c r="A110" t="inlineStr">
        <is>
          <t>m23E19IP050</t>
        </is>
      </c>
      <c r="B110" t="inlineStr">
        <is>
          <t>PANEL DE CONEXIÓN 24 PUERTOS CAT. 6</t>
        </is>
      </c>
      <c r="C110" t="inlineStr">
        <is>
          <t>Ud</t>
        </is>
      </c>
      <c r="D110" s="3" t="n">
        <v>1</v>
      </c>
      <c r="E110" s="4" t="n">
        <v>0</v>
      </c>
      <c r="F110" s="4">
        <f>D110*E110</f>
        <v/>
      </c>
    </row>
    <row r="111">
      <c r="A111" t="inlineStr">
        <is>
          <t>IECECOCDIA</t>
        </is>
      </c>
      <c r="B111" t="inlineStr">
        <is>
          <t>Subcuadro de protección CÁMARAS FRIGORIFICAS COCINA</t>
        </is>
      </c>
      <c r="C111" t="inlineStr">
        <is>
          <t>Ud</t>
        </is>
      </c>
      <c r="D111" s="3" t="n">
        <v>1</v>
      </c>
      <c r="E111" s="4" t="n">
        <v>0</v>
      </c>
      <c r="F111" s="4">
        <f>D111*E111</f>
        <v/>
      </c>
    </row>
    <row r="112">
      <c r="A112" t="inlineStr">
        <is>
          <t>IEC010</t>
        </is>
      </c>
      <c r="B112" t="inlineStr">
        <is>
          <t>Cuadro general de distribución. Restaurante</t>
        </is>
      </c>
      <c r="C112" t="inlineStr">
        <is>
          <t>Ud</t>
        </is>
      </c>
      <c r="D112" s="3" t="n">
        <v>1</v>
      </c>
      <c r="E112" s="4" t="n">
        <v>0</v>
      </c>
      <c r="F112" s="4">
        <f>D112*E112</f>
        <v/>
      </c>
    </row>
    <row r="113">
      <c r="A113" t="inlineStr">
        <is>
          <t>IECECOCDIAb</t>
        </is>
      </c>
      <c r="B113" t="inlineStr">
        <is>
          <t>Subcuadro de protección VENTILACION</t>
        </is>
      </c>
      <c r="C113" t="inlineStr">
        <is>
          <t>Ud</t>
        </is>
      </c>
      <c r="D113" s="3" t="n">
        <v>1</v>
      </c>
      <c r="E113" s="4" t="n">
        <v>0</v>
      </c>
      <c r="F113" s="4">
        <f>D113*E113</f>
        <v/>
      </c>
    </row>
    <row r="114">
      <c r="A114" t="inlineStr">
        <is>
          <t>IE05.1</t>
        </is>
      </c>
      <c r="B114" t="inlineStr">
        <is>
          <t>Botonera general</t>
        </is>
      </c>
      <c r="C114" t="inlineStr">
        <is>
          <t>Ud</t>
        </is>
      </c>
      <c r="D114" s="3" t="n">
        <v>1</v>
      </c>
      <c r="E114" s="4" t="n">
        <v>0</v>
      </c>
      <c r="F114" s="4">
        <f>D114*E114</f>
        <v/>
      </c>
    </row>
    <row r="115">
      <c r="A115" t="inlineStr">
        <is>
          <t>m23E17MA071</t>
        </is>
      </c>
      <c r="B115" t="inlineStr">
        <is>
          <t>BASE DE ENCHUFE 16A GAMA ALTA</t>
        </is>
      </c>
      <c r="C115" t="inlineStr">
        <is>
          <t>Ud</t>
        </is>
      </c>
      <c r="D115" s="3" t="n">
        <v>29</v>
      </c>
      <c r="E115" s="4" t="n">
        <v>0</v>
      </c>
      <c r="F115" s="4">
        <f>D115*E115</f>
        <v/>
      </c>
    </row>
    <row r="116">
      <c r="A116" t="inlineStr">
        <is>
          <t>m23E17MEE080</t>
        </is>
      </c>
      <c r="B116" t="inlineStr">
        <is>
          <t>BASE DE ENCHUFE 16A ESTANCA IP-55 GAMA MEDIA</t>
        </is>
      </c>
      <c r="C116" t="inlineStr">
        <is>
          <t>Ud</t>
        </is>
      </c>
      <c r="D116" s="3" t="n">
        <v>7</v>
      </c>
      <c r="E116" s="4" t="n">
        <v>0</v>
      </c>
      <c r="F116" s="4">
        <f>D116*E116</f>
        <v/>
      </c>
    </row>
    <row r="117">
      <c r="A117" t="inlineStr">
        <is>
          <t>m23E17MEE080b</t>
        </is>
      </c>
      <c r="B117" t="inlineStr">
        <is>
          <t>BASE DE ENCHUFE 16A ESTANCA IP-66 GAMA MEDIA</t>
        </is>
      </c>
      <c r="C117" t="inlineStr">
        <is>
          <t>Ud</t>
        </is>
      </c>
      <c r="D117" s="3" t="n">
        <v>3</v>
      </c>
      <c r="E117" s="4" t="n">
        <v>0</v>
      </c>
      <c r="F117" s="4">
        <f>D117*E117</f>
        <v/>
      </c>
    </row>
    <row r="118">
      <c r="A118" t="inlineStr">
        <is>
          <t>m23E18CI030</t>
        </is>
      </c>
      <c r="B118" t="inlineStr">
        <is>
          <t>DETECTOR DE PRESENCIA/LUZ DIURNA AUTÓNOMO</t>
        </is>
      </c>
      <c r="C118" t="inlineStr">
        <is>
          <t>Ud</t>
        </is>
      </c>
      <c r="D118" s="3" t="n">
        <v>1</v>
      </c>
      <c r="E118" s="4" t="n">
        <v>0</v>
      </c>
      <c r="F118" s="4">
        <f>D118*E118</f>
        <v/>
      </c>
    </row>
    <row r="119">
      <c r="A119" t="inlineStr">
        <is>
          <t>ILTIRALEDbb</t>
        </is>
      </c>
      <c r="B119" t="inlineStr">
        <is>
          <t>MONTAJE DE TIRA LED</t>
        </is>
      </c>
      <c r="C119" t="inlineStr">
        <is>
          <t>Ml</t>
        </is>
      </c>
      <c r="D119" s="3" t="n">
        <v>50</v>
      </c>
      <c r="E119" s="4" t="n">
        <v>0</v>
      </c>
      <c r="F119" s="4">
        <f>D119*E119</f>
        <v/>
      </c>
    </row>
    <row r="120">
      <c r="A120" t="inlineStr">
        <is>
          <t>m23E17E010</t>
        </is>
      </c>
      <c r="B120" t="inlineStr">
        <is>
          <t>MONTAJE DE LUMINARIA INTERIOR / EXTERIOR</t>
        </is>
      </c>
      <c r="C120" t="inlineStr">
        <is>
          <t>Ud</t>
        </is>
      </c>
      <c r="D120" s="3" t="n">
        <v>60</v>
      </c>
      <c r="E120" s="4" t="n">
        <v>0</v>
      </c>
      <c r="F120" s="4">
        <f>D120*E120</f>
        <v/>
      </c>
    </row>
    <row r="121">
      <c r="A121" t="inlineStr">
        <is>
          <t>m23E17E010b</t>
        </is>
      </c>
      <c r="B121" t="inlineStr">
        <is>
          <t>MONTAJE DE CARRIL</t>
        </is>
      </c>
      <c r="C121" t="inlineStr">
        <is>
          <t>Ud</t>
        </is>
      </c>
      <c r="D121" s="3" t="n">
        <v>6</v>
      </c>
      <c r="E121" s="4" t="n">
        <v>0</v>
      </c>
      <c r="F121" s="4">
        <f>D121*E121</f>
        <v/>
      </c>
    </row>
    <row r="122">
      <c r="A122" t="inlineStr">
        <is>
          <t>m23E17E010bb</t>
        </is>
      </c>
      <c r="B122" t="inlineStr">
        <is>
          <t>MONTAJE DE VENTILADOR DE TECHO</t>
        </is>
      </c>
      <c r="C122" t="inlineStr">
        <is>
          <t>Ud</t>
        </is>
      </c>
      <c r="D122" s="3" t="n">
        <v>7</v>
      </c>
      <c r="E122" s="4" t="n">
        <v>0</v>
      </c>
      <c r="F122" s="4">
        <f>D122*E122</f>
        <v/>
      </c>
    </row>
    <row r="123">
      <c r="A123" t="inlineStr">
        <is>
          <t>IEM090b</t>
        </is>
      </c>
      <c r="B123" t="inlineStr">
        <is>
          <t>Kit de alarma KSLBM-4 GOLMAR para aseos y vestuarios</t>
        </is>
      </c>
      <c r="C123" t="inlineStr">
        <is>
          <t>Ud</t>
        </is>
      </c>
      <c r="D123" s="3" t="n">
        <v>1</v>
      </c>
      <c r="E123" s="4" t="n">
        <v>0</v>
      </c>
      <c r="F123" s="4">
        <f>D123*E123</f>
        <v/>
      </c>
    </row>
    <row r="124">
      <c r="A124" t="inlineStr">
        <is>
          <t>MEPTCEOPS80</t>
        </is>
      </c>
      <c r="B124" t="inlineStr">
        <is>
          <t>PT 1 KIT TIPO CAJA A EMPOTRAR O SUPERFÍCIE DE 6 MOD.</t>
        </is>
      </c>
      <c r="C124" t="inlineStr">
        <is>
          <t>Ud</t>
        </is>
      </c>
      <c r="D124" s="3" t="n">
        <v>5</v>
      </c>
      <c r="E124" s="4" t="n">
        <v>0</v>
      </c>
      <c r="F124" s="4">
        <f>D124*E124</f>
        <v/>
      </c>
    </row>
    <row r="125">
      <c r="A125" t="inlineStr">
        <is>
          <t>MPT2CEOS80</t>
        </is>
      </c>
      <c r="B125" t="inlineStr">
        <is>
          <t>PT 2 KIT TIPO CAJA A EMPOTRAR</t>
        </is>
      </c>
      <c r="C125" t="inlineStr">
        <is>
          <t>Ud</t>
        </is>
      </c>
      <c r="D125" s="3" t="n">
        <v>2</v>
      </c>
      <c r="E125" s="4" t="n">
        <v>0</v>
      </c>
      <c r="F125" s="4">
        <f>D125*E125</f>
        <v/>
      </c>
    </row>
    <row r="126">
      <c r="A126" t="inlineStr">
        <is>
          <t>IMC010</t>
        </is>
      </c>
      <c r="B126" t="inlineStr">
        <is>
          <t>Sistema domótico abierto KNX.</t>
        </is>
      </c>
      <c r="C126" t="inlineStr">
        <is>
          <t>Ud</t>
        </is>
      </c>
      <c r="D126" s="3" t="n">
        <v>1</v>
      </c>
      <c r="E126" s="4" t="n">
        <v>0</v>
      </c>
      <c r="F126" s="4">
        <f>D126*E126</f>
        <v/>
      </c>
    </row>
    <row r="127">
      <c r="A127" t="inlineStr">
        <is>
          <t>IEO010bc</t>
        </is>
      </c>
      <c r="B127" t="inlineStr">
        <is>
          <t>Canalización de tubo rígido de PVC de 16 mm</t>
        </is>
      </c>
      <c r="C127" t="inlineStr">
        <is>
          <t>Ml</t>
        </is>
      </c>
      <c r="D127" s="3" t="n">
        <v>35</v>
      </c>
      <c r="E127" s="4" t="n">
        <v>0</v>
      </c>
      <c r="F127" s="4">
        <f>D127*E127</f>
        <v/>
      </c>
    </row>
    <row r="128">
      <c r="A128" t="inlineStr">
        <is>
          <t>IEO010bf</t>
        </is>
      </c>
      <c r="B128" t="inlineStr">
        <is>
          <t>Canalización de tubo rígido de PVC de 32 mm</t>
        </is>
      </c>
      <c r="C128" t="inlineStr">
        <is>
          <t>Ml</t>
        </is>
      </c>
      <c r="D128" s="3" t="n">
        <v>160</v>
      </c>
      <c r="E128" s="4" t="n">
        <v>0</v>
      </c>
      <c r="F128" s="4">
        <f>D128*E128</f>
        <v/>
      </c>
    </row>
    <row r="129">
      <c r="A129" t="inlineStr">
        <is>
          <t>IEO010b</t>
        </is>
      </c>
      <c r="B129" t="inlineStr">
        <is>
          <t>Canalización empotrada en elemento de construcción de</t>
        </is>
      </c>
      <c r="C129" t="inlineStr">
        <is>
          <t>Ml</t>
        </is>
      </c>
      <c r="D129" s="3" t="n">
        <v>2108</v>
      </c>
      <c r="E129" s="4" t="n">
        <v>0</v>
      </c>
      <c r="F129" s="4">
        <f>D129*E129</f>
        <v/>
      </c>
    </row>
    <row r="130">
      <c r="A130" t="inlineStr">
        <is>
          <t>IEO010c</t>
        </is>
      </c>
      <c r="B130" t="inlineStr">
        <is>
          <t>Canalización empotrada en elemento de construcción de</t>
        </is>
      </c>
      <c r="C130" t="inlineStr">
        <is>
          <t>Ml</t>
        </is>
      </c>
      <c r="D130" s="3" t="n">
        <v>215.5</v>
      </c>
      <c r="E130" s="4" t="n">
        <v>0</v>
      </c>
      <c r="F130" s="4">
        <f>D130*E130</f>
        <v/>
      </c>
    </row>
    <row r="131">
      <c r="A131" t="inlineStr">
        <is>
          <t>IEO010e</t>
        </is>
      </c>
      <c r="B131" t="inlineStr">
        <is>
          <t>Canalización empotrada en elemento de construcción de</t>
        </is>
      </c>
      <c r="C131" t="inlineStr">
        <is>
          <t>Ml</t>
        </is>
      </c>
      <c r="D131" s="3" t="n">
        <v>115</v>
      </c>
      <c r="E131" s="4" t="n">
        <v>0</v>
      </c>
      <c r="F131" s="4">
        <f>D131*E131</f>
        <v/>
      </c>
    </row>
    <row r="132">
      <c r="A132" t="inlineStr">
        <is>
          <t>IEO010d</t>
        </is>
      </c>
      <c r="B132" t="inlineStr">
        <is>
          <t>Canalización empotrada en elemento de construcción de</t>
        </is>
      </c>
      <c r="C132" t="inlineStr">
        <is>
          <t>Ml</t>
        </is>
      </c>
      <c r="D132" s="3" t="n">
        <v>1214.3</v>
      </c>
      <c r="E132" s="4" t="n">
        <v>0</v>
      </c>
      <c r="F132" s="4">
        <f>D132*E132</f>
        <v/>
      </c>
    </row>
    <row r="133">
      <c r="A133" t="inlineStr">
        <is>
          <t>IE05.1</t>
        </is>
      </c>
      <c r="B133" t="inlineStr">
        <is>
          <t>Botonera general</t>
        </is>
      </c>
      <c r="C133" t="inlineStr">
        <is>
          <t>Ud</t>
        </is>
      </c>
      <c r="D133" s="3" t="n">
        <v>1</v>
      </c>
      <c r="E133" s="4" t="n">
        <v>0</v>
      </c>
      <c r="F133" s="4">
        <f>D133*E133</f>
        <v/>
      </c>
    </row>
    <row r="134">
      <c r="A134" t="inlineStr">
        <is>
          <t>m22E18CI030</t>
        </is>
      </c>
      <c r="B134" t="inlineStr">
        <is>
          <t>DETECTOR DE PRESENCIA/LUZ DIURNA AUTÓNOMO</t>
        </is>
      </c>
      <c r="C134" t="inlineStr">
        <is>
          <t>Ud</t>
        </is>
      </c>
      <c r="D134" s="3" t="n">
        <v>3</v>
      </c>
      <c r="E134" s="4" t="n">
        <v>0</v>
      </c>
      <c r="F134" s="4">
        <f>D134*E134</f>
        <v/>
      </c>
    </row>
    <row r="135">
      <c r="A135" t="inlineStr">
        <is>
          <t>m23E17MS071</t>
        </is>
      </c>
      <c r="B135" t="inlineStr">
        <is>
          <t>BASE DE ENCHUFE 16A GAMA BÁSICA</t>
        </is>
      </c>
      <c r="C135" t="inlineStr">
        <is>
          <t>Ud</t>
        </is>
      </c>
      <c r="D135" s="3" t="n">
        <v>16</v>
      </c>
      <c r="E135" s="4" t="n">
        <v>0</v>
      </c>
      <c r="F135" s="4">
        <f>D135*E135</f>
        <v/>
      </c>
    </row>
    <row r="136">
      <c r="A136" t="inlineStr">
        <is>
          <t>m23E17MS081</t>
        </is>
      </c>
      <c r="B136" t="inlineStr">
        <is>
          <t>BASE DE ENCHUFE DOBLE 16A GAMA BÁSICA</t>
        </is>
      </c>
      <c r="C136" t="inlineStr">
        <is>
          <t>Ud</t>
        </is>
      </c>
      <c r="D136" s="3" t="n">
        <v>3</v>
      </c>
      <c r="E136" s="4" t="n">
        <v>0</v>
      </c>
      <c r="F136" s="4">
        <f>D136*E136</f>
        <v/>
      </c>
    </row>
    <row r="137">
      <c r="A137" t="inlineStr">
        <is>
          <t>m23E17MI040b</t>
        </is>
      </c>
      <c r="B137" t="inlineStr">
        <is>
          <t>BASE SUPERFICIAL IP447 de 16A a 32 A 3P+TT</t>
        </is>
      </c>
      <c r="C137" t="inlineStr">
        <is>
          <t>Ud</t>
        </is>
      </c>
      <c r="D137" s="3" t="n">
        <v>19</v>
      </c>
      <c r="E137" s="4" t="n">
        <v>0</v>
      </c>
      <c r="F137" s="4">
        <f>D137*E137</f>
        <v/>
      </c>
    </row>
    <row r="138">
      <c r="A138" t="inlineStr">
        <is>
          <t>m23E17MS011</t>
        </is>
      </c>
      <c r="B138" t="inlineStr">
        <is>
          <t>PUNTO LUZ SENCILLO GAMA BÁSICA</t>
        </is>
      </c>
      <c r="C138" t="inlineStr">
        <is>
          <t>Ud</t>
        </is>
      </c>
      <c r="D138" s="3" t="n">
        <v>2</v>
      </c>
      <c r="E138" s="4" t="n">
        <v>0</v>
      </c>
      <c r="F138" s="4">
        <f>D138*E138</f>
        <v/>
      </c>
    </row>
    <row r="139">
      <c r="A139" t="inlineStr">
        <is>
          <t>m23E17MI030</t>
        </is>
      </c>
      <c r="B139" t="inlineStr">
        <is>
          <t>BASE SUPERFICIAL IP447 16 A 3P+TT</t>
        </is>
      </c>
      <c r="C139" t="inlineStr">
        <is>
          <t>Ud</t>
        </is>
      </c>
      <c r="D139" s="3" t="n">
        <v>2</v>
      </c>
      <c r="E139" s="4" t="n">
        <v>0</v>
      </c>
      <c r="F139" s="4">
        <f>D139*E139</f>
        <v/>
      </c>
    </row>
    <row r="140">
      <c r="A140" t="inlineStr">
        <is>
          <t>m23E17MI040</t>
        </is>
      </c>
      <c r="B140" t="inlineStr">
        <is>
          <t>BASE SUPERFICIAL IP447 32 A 3P+TT</t>
        </is>
      </c>
      <c r="C140" t="inlineStr">
        <is>
          <t>Ud</t>
        </is>
      </c>
      <c r="D140" s="3" t="n">
        <v>1</v>
      </c>
      <c r="E140" s="4" t="n">
        <v>0</v>
      </c>
      <c r="F140" s="4">
        <f>D140*E140</f>
        <v/>
      </c>
    </row>
    <row r="141">
      <c r="A141" t="inlineStr">
        <is>
          <t>m23E17MI040ca</t>
        </is>
      </c>
      <c r="B141" t="inlineStr">
        <is>
          <t>BASE SUPERFICIAL IP447 125 A 3P+TT</t>
        </is>
      </c>
      <c r="C141" t="inlineStr">
        <is>
          <t>Ud</t>
        </is>
      </c>
      <c r="D141" s="3" t="n">
        <v>1</v>
      </c>
      <c r="E141" s="4" t="n">
        <v>0</v>
      </c>
      <c r="F141" s="4">
        <f>D141*E141</f>
        <v/>
      </c>
    </row>
    <row r="142">
      <c r="A142" t="inlineStr">
        <is>
          <t>m23E17MI040ca</t>
        </is>
      </c>
      <c r="B142" t="inlineStr">
        <is>
          <t>BASE SUPERFICIAL IP447 125 A 3P+TT</t>
        </is>
      </c>
      <c r="C142" t="inlineStr">
        <is>
          <t>Ud</t>
        </is>
      </c>
      <c r="D142" s="3" t="n">
        <v>1</v>
      </c>
      <c r="E142" s="4" t="n">
        <v>0</v>
      </c>
      <c r="F142" s="4">
        <f>D142*E142</f>
        <v/>
      </c>
    </row>
    <row r="143">
      <c r="A143" t="inlineStr">
        <is>
          <t>m23E17MI010</t>
        </is>
      </c>
      <c r="B143" t="inlineStr">
        <is>
          <t>BASE SUPERFICIAL IP447 16 A 2P+TT</t>
        </is>
      </c>
      <c r="C143" t="inlineStr">
        <is>
          <t>Ud</t>
        </is>
      </c>
      <c r="D143" s="3" t="n">
        <v>2</v>
      </c>
      <c r="E143" s="4" t="n">
        <v>0</v>
      </c>
      <c r="F143" s="4">
        <f>D143*E143</f>
        <v/>
      </c>
    </row>
    <row r="144">
      <c r="A144" t="inlineStr">
        <is>
          <t>m23E18IEB230</t>
        </is>
      </c>
      <c r="B144" t="inlineStr">
        <is>
          <t>PANTALLA ESTANCA LED DE 1500mm DE 28W a 75W</t>
        </is>
      </c>
      <c r="C144" t="inlineStr">
        <is>
          <t>Ud</t>
        </is>
      </c>
      <c r="D144" s="3" t="n">
        <v>10</v>
      </c>
      <c r="E144" s="4" t="n">
        <v>0</v>
      </c>
      <c r="F144" s="4">
        <f>D144*E144</f>
        <v/>
      </c>
    </row>
    <row r="145">
      <c r="A145" t="inlineStr">
        <is>
          <t>m23E18IEB210</t>
        </is>
      </c>
      <c r="B145" t="inlineStr">
        <is>
          <t>PANTALLA ESTANCA LED DE 1200mm DE 19W a 50W</t>
        </is>
      </c>
      <c r="C145" t="inlineStr">
        <is>
          <t>Ud</t>
        </is>
      </c>
      <c r="D145" s="3" t="n">
        <v>4</v>
      </c>
      <c r="E145" s="4" t="n">
        <v>0</v>
      </c>
      <c r="F145" s="4">
        <f>D145*E145</f>
        <v/>
      </c>
    </row>
    <row r="146">
      <c r="A146" t="inlineStr">
        <is>
          <t>m23E18IEC011</t>
        </is>
      </c>
      <c r="B146" t="inlineStr">
        <is>
          <t>REGLETA ESTANCA BAJAS TEMPERATURAS 1x58 W T8 - HF</t>
        </is>
      </c>
      <c r="C146" t="inlineStr">
        <is>
          <t>Ud</t>
        </is>
      </c>
      <c r="D146" s="3" t="n">
        <v>2</v>
      </c>
      <c r="E146" s="4" t="n">
        <v>0</v>
      </c>
      <c r="F146" s="4">
        <f>D146*E146</f>
        <v/>
      </c>
    </row>
    <row r="147">
      <c r="A147" t="inlineStr">
        <is>
          <t>m23E18IDE480</t>
        </is>
      </c>
      <c r="B147" t="inlineStr">
        <is>
          <t>DOWNLIGHT LED DE 23W A 28W</t>
        </is>
      </c>
      <c r="C147" t="inlineStr">
        <is>
          <t>Ud</t>
        </is>
      </c>
      <c r="D147" s="3" t="n">
        <v>1</v>
      </c>
      <c r="E147" s="4" t="n">
        <v>0</v>
      </c>
      <c r="F147" s="4">
        <f>D147*E147</f>
        <v/>
      </c>
    </row>
    <row r="148">
      <c r="A148" t="inlineStr">
        <is>
          <t>m23E18IDE440</t>
        </is>
      </c>
      <c r="B148" t="inlineStr">
        <is>
          <t>DOWNLIGHT LED DE 15W A 18W IP55</t>
        </is>
      </c>
      <c r="C148" t="inlineStr">
        <is>
          <t>Ud</t>
        </is>
      </c>
      <c r="D148" s="3" t="n">
        <v>2</v>
      </c>
      <c r="E148" s="4" t="n">
        <v>0</v>
      </c>
      <c r="F148" s="4">
        <f>D148*E148</f>
        <v/>
      </c>
    </row>
    <row r="149">
      <c r="A149" t="inlineStr">
        <is>
          <t>IEP010bba</t>
        </is>
      </c>
      <c r="B149" t="inlineStr">
        <is>
          <t>Red de toma de tierra para estructura.</t>
        </is>
      </c>
      <c r="C149" t="inlineStr">
        <is>
          <t>Ud</t>
        </is>
      </c>
      <c r="D149" s="3" t="n">
        <v>1</v>
      </c>
      <c r="E149" s="4" t="n">
        <v>0</v>
      </c>
      <c r="F149" s="4">
        <f>D149*E149</f>
        <v/>
      </c>
    </row>
    <row r="150">
      <c r="A150" t="inlineStr">
        <is>
          <t>IEP030b</t>
        </is>
      </c>
      <c r="B150" t="inlineStr">
        <is>
          <t>Red de equipotencialidad en cuarto húmedo.</t>
        </is>
      </c>
      <c r="C150" t="inlineStr">
        <is>
          <t>Ud</t>
        </is>
      </c>
      <c r="D150" s="3" t="n">
        <v>2</v>
      </c>
      <c r="E150" s="4" t="n">
        <v>0</v>
      </c>
      <c r="F150" s="4">
        <f>D150*E150</f>
        <v/>
      </c>
    </row>
    <row r="151">
      <c r="A151" t="inlineStr">
        <is>
          <t>IOA020gb</t>
        </is>
      </c>
      <c r="B151" t="inlineStr">
        <is>
          <t>Luminaria de emergencia DAISALUX modelo IZAR N30.</t>
        </is>
      </c>
      <c r="C151" t="inlineStr">
        <is>
          <t>Ud</t>
        </is>
      </c>
      <c r="D151" s="3" t="n">
        <v>16</v>
      </c>
      <c r="E151" s="4" t="n">
        <v>0</v>
      </c>
      <c r="F151" s="4">
        <f>D151*E151</f>
        <v/>
      </c>
    </row>
    <row r="152">
      <c r="A152" t="inlineStr">
        <is>
          <t>IOA020gbbd</t>
        </is>
      </c>
      <c r="B152" t="inlineStr">
        <is>
          <t>Luminaria de emergencia DAISALUX modelo IKUS</t>
        </is>
      </c>
      <c r="C152" t="inlineStr">
        <is>
          <t>Ud</t>
        </is>
      </c>
      <c r="D152" s="3" t="n">
        <v>8</v>
      </c>
      <c r="E152" s="4" t="n">
        <v>0</v>
      </c>
      <c r="F152" s="4">
        <f>D152*E152</f>
        <v/>
      </c>
    </row>
    <row r="153">
      <c r="A153" t="inlineStr">
        <is>
          <t>m22E18G150</t>
        </is>
      </c>
      <c r="B153" t="inlineStr">
        <is>
          <t>BLOQUE AUTÓNOMO EMERGENCIA ESTANCO IP-65 LED</t>
        </is>
      </c>
      <c r="C153" t="inlineStr">
        <is>
          <t>Ud</t>
        </is>
      </c>
      <c r="D153" s="3" t="n">
        <v>28</v>
      </c>
      <c r="E153" s="4" t="n">
        <v>0</v>
      </c>
      <c r="F153" s="4">
        <f>D153*E153</f>
        <v/>
      </c>
    </row>
    <row r="154">
      <c r="A154" t="inlineStr">
        <is>
          <t>ICR110</t>
        </is>
      </c>
      <c r="B154" t="inlineStr">
        <is>
          <t>Recuperador de calor aire-aire. Instalación en techo.</t>
        </is>
      </c>
      <c r="C154" t="inlineStr">
        <is>
          <t>Ud</t>
        </is>
      </c>
      <c r="D154" s="3" t="n">
        <v>1</v>
      </c>
      <c r="E154" s="4" t="n">
        <v>0</v>
      </c>
      <c r="F154" s="4">
        <f>D154*E154</f>
        <v/>
      </c>
    </row>
    <row r="155"/>
    <row r="156">
      <c r="A156" t="inlineStr"/>
      <c r="B156" t="inlineStr"/>
      <c r="C156" t="inlineStr"/>
      <c r="D156" t="inlineStr"/>
      <c r="E156" s="5" t="inlineStr">
        <is>
          <t>SUBTOTAL</t>
        </is>
      </c>
      <c r="F156" s="6">
        <f>SUM(F4:F154)</f>
        <v/>
      </c>
    </row>
    <row r="157">
      <c r="A157" t="inlineStr"/>
      <c r="B157" t="inlineStr"/>
      <c r="C157" t="inlineStr"/>
      <c r="D157" t="inlineStr"/>
      <c r="E157" s="5" t="inlineStr">
        <is>
          <t>IVA (21%)</t>
        </is>
      </c>
      <c r="F157" s="6">
        <f>F156*0.21</f>
        <v/>
      </c>
    </row>
    <row r="158">
      <c r="A158" t="inlineStr"/>
      <c r="B158" t="inlineStr"/>
      <c r="C158" t="inlineStr"/>
      <c r="D158" t="inlineStr"/>
      <c r="E158" s="5" t="inlineStr">
        <is>
          <t>TOTAL PRESUPUESTO</t>
        </is>
      </c>
      <c r="F158" s="6">
        <f>F156+F157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2026-07-29T12:57:34Z</dcterms:created>
  <dcterms:modified xmlns:dcterms="http://purl.org/dc/terms/" xmlns:xsi="http://www.w3.org/2001/XMLSchema-instance" xsi:type="dcterms:W3CDTF">2026-07-29T12:57:34Z</dcterms:modified>
</cp:coreProperties>
</file>