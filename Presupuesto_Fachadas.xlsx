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ocuments\Presupuestador\"/>
    </mc:Choice>
  </mc:AlternateContent>
  <xr:revisionPtr revIDLastSave="0" documentId="13_ncr:1_{3E4DFC4A-139F-4A9C-93A4-012B29EEF9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resupuesto Fachadas" sheetId="1" r:id="rId1"/>
  </sheets>
  <calcPr calcId="191029"/>
</workbook>
</file>

<file path=xl/calcChain.xml><?xml version="1.0" encoding="utf-8"?>
<calcChain xmlns="http://schemas.openxmlformats.org/spreadsheetml/2006/main">
  <c r="D6" i="1" l="1"/>
  <c r="D4" i="1"/>
  <c r="F4" i="1" s="1"/>
  <c r="C21" i="1"/>
  <c r="F5" i="1"/>
  <c r="F7" i="1"/>
  <c r="D7" i="1"/>
  <c r="F2" i="1"/>
  <c r="D2" i="1"/>
  <c r="F6" i="1"/>
  <c r="F3" i="1"/>
  <c r="D3" i="1"/>
  <c r="F9" i="1" l="1"/>
</calcChain>
</file>

<file path=xl/sharedStrings.xml><?xml version="1.0" encoding="utf-8"?>
<sst xmlns="http://schemas.openxmlformats.org/spreadsheetml/2006/main" count="28" uniqueCount="23">
  <si>
    <t>Ubicación</t>
  </si>
  <si>
    <t>Descripción</t>
  </si>
  <si>
    <t>Medidas / Unidades</t>
  </si>
  <si>
    <t>Precio Unitario</t>
  </si>
  <si>
    <t>Total</t>
  </si>
  <si>
    <t>Fachada lateral oeste</t>
  </si>
  <si>
    <t>Fabricado y montaje de 4 líneas de tubo 100x50x3 galvanizado base reforzado a fijar en estructura existente, incluye accesorios de montaje.</t>
  </si>
  <si>
    <t>41 ML x 4 Uds</t>
  </si>
  <si>
    <t>Suministro y montaje de sistema thermoclick de paneles celulares de policarbonato entrelazados.</t>
  </si>
  <si>
    <t>41 ML x 5 ML (ancho x alto)</t>
  </si>
  <si>
    <t>Fachada frontal sur</t>
  </si>
  <si>
    <t>Fabricado y montaje de 4 líneas de tubo 100x50x3 galvanizado base reforzado a fijar en estructura existente.</t>
  </si>
  <si>
    <t>Fabricado y montaje de pilar intermedio de tubo 100x100x4.</t>
  </si>
  <si>
    <t>1 Ud</t>
  </si>
  <si>
    <t>Mantenimiento general</t>
  </si>
  <si>
    <t>9 ML x 12 Uds</t>
  </si>
  <si>
    <r>
      <t>Raspado, pasivado, imprimado con rica en zinc y acabado poliuretanico de postes existentes de 150x150 mm.</t>
    </r>
    <r>
      <rPr>
        <b/>
        <sz val="11"/>
        <color theme="1"/>
        <rFont val="Calibri"/>
        <family val="2"/>
        <scheme val="minor"/>
      </rPr>
      <t xml:space="preserve"> Incluye elementos de elevacion.</t>
    </r>
  </si>
  <si>
    <t xml:space="preserve">Cascaron Con chapa </t>
  </si>
  <si>
    <t>Gastos logisticos</t>
  </si>
  <si>
    <t>Elementos auxiliares</t>
  </si>
  <si>
    <t>Total aproximado</t>
  </si>
  <si>
    <t>12 ML x 4 Uds</t>
  </si>
  <si>
    <t>12 ML x 5 ML (ancho x alto)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</si>
</sst>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3" borderId="1" applyNumberFormat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3" xfId="0" applyBorder="1"/>
    <xf numFmtId="44" fontId="0" fillId="0" borderId="4" xfId="1" applyFont="1" applyBorder="1"/>
    <xf numFmtId="0" fontId="0" fillId="0" borderId="5" xfId="0" applyBorder="1"/>
    <xf numFmtId="44" fontId="0" fillId="0" borderId="6" xfId="1" applyFont="1" applyBorder="1"/>
    <xf numFmtId="0" fontId="0" fillId="0" borderId="6" xfId="0" applyBorder="1"/>
    <xf numFmtId="0" fontId="0" fillId="0" borderId="7" xfId="0" applyBorder="1"/>
    <xf numFmtId="44" fontId="0" fillId="0" borderId="8" xfId="1" applyFont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4" fontId="0" fillId="0" borderId="2" xfId="1" applyFont="1" applyBorder="1" applyAlignment="1">
      <alignment horizontal="left" vertical="center"/>
    </xf>
    <xf numFmtId="0" fontId="3" fillId="3" borderId="2" xfId="2" applyBorder="1" applyAlignment="1">
      <alignment horizontal="left" vertical="center"/>
    </xf>
    <xf numFmtId="0" fontId="3" fillId="3" borderId="2" xfId="2" applyBorder="1" applyAlignment="1">
      <alignment horizontal="left" vertical="center" wrapText="1"/>
    </xf>
    <xf numFmtId="44" fontId="3" fillId="3" borderId="2" xfId="2" applyNumberFormat="1" applyBorder="1" applyAlignment="1">
      <alignment horizontal="left" vertical="center"/>
    </xf>
    <xf numFmtId="0" fontId="0" fillId="0" borderId="2" xfId="0" applyBorder="1" applyAlignment="1">
      <alignment horizontal="left"/>
    </xf>
    <xf numFmtId="44" fontId="0" fillId="0" borderId="2" xfId="0" applyNumberFormat="1" applyBorder="1" applyAlignment="1">
      <alignment horizontal="left"/>
    </xf>
  </cellXfs>
  <cellStyles count="3">
    <cellStyle name="Entrada" xfId="2" builtinId="20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zoomScale="175" zoomScaleNormal="175" workbookViewId="0">
      <selection activeCell="F22" sqref="A1:F22"/>
    </sheetView>
  </sheetViews>
  <sheetFormatPr baseColWidth="10" defaultColWidth="9.140625" defaultRowHeight="15" x14ac:dyDescent="0.25"/>
  <cols>
    <col min="1" max="1" width="23" customWidth="1"/>
    <col min="2" max="2" width="80" customWidth="1"/>
    <col min="3" max="3" width="24.5703125" bestFit="1" customWidth="1"/>
    <col min="4" max="4" width="5" bestFit="1" customWidth="1"/>
    <col min="5" max="5" width="14.2851562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ht="30" x14ac:dyDescent="0.25">
      <c r="A2" s="9" t="s">
        <v>5</v>
      </c>
      <c r="B2" s="10" t="s">
        <v>6</v>
      </c>
      <c r="C2" s="9" t="s">
        <v>7</v>
      </c>
      <c r="D2" s="9">
        <f>42*4</f>
        <v>168</v>
      </c>
      <c r="E2" s="11">
        <v>35</v>
      </c>
      <c r="F2" s="11">
        <f>+E2*D2</f>
        <v>5880</v>
      </c>
    </row>
    <row r="3" spans="1:6" ht="30" x14ac:dyDescent="0.25">
      <c r="A3" s="12" t="s">
        <v>5</v>
      </c>
      <c r="B3" s="13" t="s">
        <v>8</v>
      </c>
      <c r="C3" s="12" t="s">
        <v>9</v>
      </c>
      <c r="D3" s="12">
        <f>41*5</f>
        <v>205</v>
      </c>
      <c r="E3" s="14">
        <v>165</v>
      </c>
      <c r="F3" s="14">
        <f>+E3*D3</f>
        <v>33825</v>
      </c>
    </row>
    <row r="4" spans="1:6" ht="30" x14ac:dyDescent="0.25">
      <c r="A4" s="9" t="s">
        <v>10</v>
      </c>
      <c r="B4" s="10" t="s">
        <v>11</v>
      </c>
      <c r="C4" s="9" t="s">
        <v>21</v>
      </c>
      <c r="D4" s="9">
        <f>12*4</f>
        <v>48</v>
      </c>
      <c r="E4" s="11">
        <v>35</v>
      </c>
      <c r="F4" s="11">
        <f>+E4*D4</f>
        <v>1680</v>
      </c>
    </row>
    <row r="5" spans="1:6" x14ac:dyDescent="0.25">
      <c r="A5" s="9" t="s">
        <v>10</v>
      </c>
      <c r="B5" s="10" t="s">
        <v>12</v>
      </c>
      <c r="C5" s="9" t="s">
        <v>13</v>
      </c>
      <c r="D5" s="9">
        <v>1</v>
      </c>
      <c r="E5" s="11">
        <v>1400</v>
      </c>
      <c r="F5" s="11">
        <f>+E5*D5</f>
        <v>1400</v>
      </c>
    </row>
    <row r="6" spans="1:6" ht="30" x14ac:dyDescent="0.25">
      <c r="A6" s="12" t="s">
        <v>10</v>
      </c>
      <c r="B6" s="13" t="s">
        <v>8</v>
      </c>
      <c r="C6" s="12" t="s">
        <v>22</v>
      </c>
      <c r="D6" s="12">
        <f>12*5</f>
        <v>60</v>
      </c>
      <c r="E6" s="14">
        <v>165</v>
      </c>
      <c r="F6" s="14">
        <f>+E6*D6</f>
        <v>9900</v>
      </c>
    </row>
    <row r="7" spans="1:6" ht="30" x14ac:dyDescent="0.25">
      <c r="A7" s="9" t="s">
        <v>14</v>
      </c>
      <c r="B7" s="10" t="s">
        <v>16</v>
      </c>
      <c r="C7" s="9" t="s">
        <v>15</v>
      </c>
      <c r="D7" s="9">
        <f>+(0.15*4)*9*12</f>
        <v>64.8</v>
      </c>
      <c r="E7" s="11">
        <v>68</v>
      </c>
      <c r="F7" s="11">
        <f>+E7*D7</f>
        <v>4406.3999999999996</v>
      </c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 t="s">
        <v>4</v>
      </c>
      <c r="F9" s="16">
        <f>SUM(F2:F8)</f>
        <v>57091.4</v>
      </c>
    </row>
    <row r="16" spans="1:6" ht="15.75" thickBot="1" x14ac:dyDescent="0.3"/>
    <row r="17" spans="2:3" x14ac:dyDescent="0.25">
      <c r="B17" s="2" t="s">
        <v>17</v>
      </c>
      <c r="C17" s="3">
        <v>95000</v>
      </c>
    </row>
    <row r="18" spans="2:3" x14ac:dyDescent="0.25">
      <c r="B18" s="4" t="s">
        <v>18</v>
      </c>
      <c r="C18" s="5">
        <v>12000</v>
      </c>
    </row>
    <row r="19" spans="2:3" x14ac:dyDescent="0.25">
      <c r="B19" s="4" t="s">
        <v>19</v>
      </c>
      <c r="C19" s="5">
        <v>10000</v>
      </c>
    </row>
    <row r="20" spans="2:3" x14ac:dyDescent="0.25">
      <c r="B20" s="4"/>
      <c r="C20" s="6"/>
    </row>
    <row r="21" spans="2:3" ht="15.75" thickBot="1" x14ac:dyDescent="0.3">
      <c r="B21" s="7" t="s">
        <v>20</v>
      </c>
      <c r="C21" s="8">
        <f>SUM(C17:C20)</f>
        <v>117000</v>
      </c>
    </row>
  </sheetData>
  <pageMargins left="0.75" right="0.75" top="1" bottom="1" header="0.5" footer="0.5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Fachadas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Sebastian Sanchez Arnoletto</cp:lastModifiedBy>
  <cp:lastPrinted>2026-08-04T10:14:25Z</cp:lastPrinted>
  <dcterms:created xsi:type="dcterms:W3CDTF">2026-08-04T08:31:42Z</dcterms:created>
  <dcterms:modified xsi:type="dcterms:W3CDTF">2026-08-05T12:26:58Z</dcterms:modified>
</cp:coreProperties>
</file>